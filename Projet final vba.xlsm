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AYE\Desktop\PROBA\"/>
    </mc:Choice>
  </mc:AlternateContent>
  <bookViews>
    <workbookView xWindow="0" yWindow="0" windowWidth="20490" windowHeight="7755"/>
  </bookViews>
  <sheets>
    <sheet name="Feuil1" sheetId="1" r:id="rId1"/>
    <sheet name="Feuil3" sheetId="3" r:id="rId2"/>
    <sheet name="TABLEAU DE BORD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3" l="1"/>
  <c r="S9" i="3"/>
  <c r="S8" i="3"/>
  <c r="S7" i="3"/>
  <c r="S6" i="3"/>
  <c r="S5" i="3"/>
  <c r="S4" i="3"/>
  <c r="S3" i="3"/>
  <c r="S2" i="3"/>
  <c r="J3" i="3"/>
  <c r="J2" i="3"/>
  <c r="G3" i="3"/>
  <c r="G2" i="3"/>
  <c r="D4" i="3"/>
  <c r="D3" i="3"/>
  <c r="D2" i="3"/>
  <c r="AJ3" i="1"/>
  <c r="AJ4" i="1"/>
  <c r="AJ6" i="1"/>
  <c r="AJ8" i="1"/>
  <c r="AJ10" i="1"/>
  <c r="AJ12" i="1"/>
  <c r="AJ14" i="1"/>
  <c r="AJ16" i="1"/>
  <c r="AJ18" i="1"/>
  <c r="AJ20" i="1"/>
  <c r="AJ22" i="1"/>
  <c r="AJ24" i="1"/>
  <c r="AJ26" i="1"/>
  <c r="AJ28" i="1"/>
  <c r="AJ30" i="1"/>
  <c r="AJ32" i="1"/>
  <c r="AJ34" i="1"/>
  <c r="AJ36" i="1"/>
  <c r="AJ38" i="1"/>
  <c r="AJ40" i="1"/>
  <c r="AJ42" i="1"/>
  <c r="AJ44" i="1"/>
  <c r="AJ46" i="1"/>
  <c r="AJ48" i="1"/>
  <c r="AJ50" i="1"/>
  <c r="AJ5" i="1"/>
  <c r="AJ7" i="1"/>
  <c r="AJ9" i="1"/>
  <c r="AJ11" i="1"/>
  <c r="AJ13" i="1"/>
  <c r="AJ15" i="1"/>
  <c r="AJ17" i="1"/>
  <c r="AJ19" i="1"/>
  <c r="AJ21" i="1"/>
  <c r="AJ23" i="1"/>
  <c r="AJ25" i="1"/>
  <c r="AJ27" i="1"/>
  <c r="AJ29" i="1"/>
  <c r="AJ31" i="1"/>
  <c r="AJ33" i="1"/>
  <c r="AJ35" i="1"/>
  <c r="AJ37" i="1"/>
  <c r="AJ39" i="1"/>
  <c r="AJ41" i="1"/>
  <c r="AJ43" i="1"/>
  <c r="AJ45" i="1"/>
  <c r="AJ47" i="1"/>
  <c r="AJ49" i="1"/>
  <c r="AJ51" i="1"/>
  <c r="AJ2" i="1"/>
  <c r="X8" i="1" l="1"/>
  <c r="X51" i="1" l="1"/>
  <c r="X2" i="1"/>
  <c r="X6" i="1"/>
  <c r="X12" i="1"/>
  <c r="X16" i="1"/>
  <c r="X20" i="1"/>
  <c r="X24" i="1"/>
  <c r="X28" i="1"/>
  <c r="X32" i="1"/>
  <c r="X36" i="1"/>
  <c r="X40" i="1"/>
  <c r="X44" i="1"/>
  <c r="X48" i="1"/>
  <c r="X3" i="1"/>
  <c r="X7" i="1"/>
  <c r="X11" i="1"/>
  <c r="X15" i="1"/>
  <c r="X19" i="1"/>
  <c r="X23" i="1"/>
  <c r="X27" i="1"/>
  <c r="X31" i="1"/>
  <c r="X35" i="1"/>
  <c r="X39" i="1"/>
  <c r="X43" i="1"/>
  <c r="X47" i="1"/>
  <c r="W2" i="1"/>
  <c r="W6" i="1"/>
  <c r="W10" i="1"/>
  <c r="W14" i="1"/>
  <c r="W18" i="1"/>
  <c r="W22" i="1"/>
  <c r="W26" i="1"/>
  <c r="W30" i="1"/>
  <c r="W34" i="1"/>
  <c r="W38" i="1"/>
  <c r="W42" i="1"/>
  <c r="W46" i="1"/>
  <c r="W50" i="1"/>
  <c r="W5" i="1"/>
  <c r="W9" i="1"/>
  <c r="W13" i="1"/>
  <c r="W17" i="1"/>
  <c r="W21" i="1"/>
  <c r="W25" i="1"/>
  <c r="W29" i="1"/>
  <c r="W33" i="1"/>
  <c r="W37" i="1"/>
  <c r="W41" i="1"/>
  <c r="W45" i="1"/>
  <c r="W49" i="1"/>
  <c r="X4" i="1"/>
  <c r="X10" i="1"/>
  <c r="X14" i="1"/>
  <c r="X18" i="1"/>
  <c r="X22" i="1"/>
  <c r="X26" i="1"/>
  <c r="X30" i="1"/>
  <c r="X34" i="1"/>
  <c r="X38" i="1"/>
  <c r="X42" i="1"/>
  <c r="X46" i="1"/>
  <c r="X50" i="1"/>
  <c r="X5" i="1"/>
  <c r="X9" i="1"/>
  <c r="X13" i="1"/>
  <c r="X17" i="1"/>
  <c r="X21" i="1"/>
  <c r="X25" i="1"/>
  <c r="X29" i="1"/>
  <c r="X33" i="1"/>
  <c r="X37" i="1"/>
  <c r="X41" i="1"/>
  <c r="X45" i="1"/>
  <c r="X49" i="1"/>
  <c r="W4" i="1"/>
  <c r="W8" i="1"/>
  <c r="W12" i="1"/>
  <c r="W16" i="1"/>
  <c r="W20" i="1"/>
  <c r="W24" i="1"/>
  <c r="W28" i="1"/>
  <c r="W32" i="1"/>
  <c r="W36" i="1"/>
  <c r="W40" i="1"/>
  <c r="W44" i="1"/>
  <c r="W48" i="1"/>
  <c r="W3" i="1"/>
  <c r="W7" i="1"/>
  <c r="W11" i="1"/>
  <c r="W15" i="1"/>
  <c r="W19" i="1"/>
  <c r="W23" i="1"/>
  <c r="W27" i="1"/>
  <c r="W31" i="1"/>
  <c r="W35" i="1"/>
  <c r="W39" i="1"/>
  <c r="W43" i="1"/>
  <c r="W47" i="1"/>
  <c r="W51" i="1"/>
  <c r="Y51" i="1"/>
  <c r="Y43" i="1"/>
  <c r="Y35" i="1"/>
  <c r="Y27" i="1"/>
  <c r="Y19" i="1"/>
  <c r="Y11" i="1"/>
  <c r="Y3" i="1"/>
  <c r="Y44" i="1"/>
  <c r="Y36" i="1"/>
  <c r="Y28" i="1"/>
  <c r="Y20" i="1"/>
  <c r="Y12" i="1"/>
  <c r="Y4" i="1"/>
  <c r="Y45" i="1"/>
  <c r="Y37" i="1"/>
  <c r="Y29" i="1"/>
  <c r="Y21" i="1"/>
  <c r="Y13" i="1"/>
  <c r="Y5" i="1"/>
  <c r="Y46" i="1"/>
  <c r="Y38" i="1"/>
  <c r="Y30" i="1"/>
  <c r="Y22" i="1"/>
  <c r="Y14" i="1"/>
  <c r="Y6" i="1"/>
  <c r="Y47" i="1"/>
  <c r="Y39" i="1"/>
  <c r="Y31" i="1"/>
  <c r="Y23" i="1"/>
  <c r="Y15" i="1"/>
  <c r="Y7" i="1"/>
  <c r="Y48" i="1"/>
  <c r="Y40" i="1"/>
  <c r="Y32" i="1"/>
  <c r="Y24" i="1"/>
  <c r="Y16" i="1"/>
  <c r="Y8" i="1"/>
  <c r="Y49" i="1"/>
  <c r="Y41" i="1"/>
  <c r="Y33" i="1"/>
  <c r="Y25" i="1"/>
  <c r="Y17" i="1"/>
  <c r="Y9" i="1"/>
  <c r="Y50" i="1"/>
  <c r="Y42" i="1"/>
  <c r="Y34" i="1"/>
  <c r="Y26" i="1"/>
  <c r="Y18" i="1"/>
  <c r="Y10" i="1"/>
  <c r="Y2" i="1"/>
  <c r="AA2" i="1" s="1"/>
  <c r="AB51" i="1"/>
  <c r="Z51" i="1"/>
  <c r="AA51" i="1"/>
  <c r="AB43" i="1"/>
  <c r="Z43" i="1"/>
  <c r="AA43" i="1"/>
  <c r="AB35" i="1"/>
  <c r="Z35" i="1"/>
  <c r="AA35" i="1"/>
  <c r="AB27" i="1"/>
  <c r="Z27" i="1"/>
  <c r="AA27" i="1"/>
  <c r="AB19" i="1"/>
  <c r="Z19" i="1"/>
  <c r="AA19" i="1"/>
  <c r="AB11" i="1"/>
  <c r="Z11" i="1"/>
  <c r="AA11" i="1"/>
  <c r="AB3" i="1"/>
  <c r="Z3" i="1"/>
  <c r="AA3" i="1"/>
  <c r="AB44" i="1"/>
  <c r="Z44" i="1"/>
  <c r="AA44" i="1"/>
  <c r="AB36" i="1"/>
  <c r="Z36" i="1"/>
  <c r="AA36" i="1"/>
  <c r="AB28" i="1"/>
  <c r="Z28" i="1"/>
  <c r="AA28" i="1"/>
  <c r="AB20" i="1"/>
  <c r="Z20" i="1"/>
  <c r="AA20" i="1"/>
  <c r="AB12" i="1"/>
  <c r="Z12" i="1"/>
  <c r="AA12" i="1"/>
  <c r="AB4" i="1"/>
  <c r="Z4" i="1"/>
  <c r="AA4" i="1"/>
  <c r="AA45" i="1"/>
  <c r="AB45" i="1"/>
  <c r="Z45" i="1"/>
  <c r="AA37" i="1"/>
  <c r="AB37" i="1"/>
  <c r="Z37" i="1"/>
  <c r="AA29" i="1"/>
  <c r="AB29" i="1"/>
  <c r="Z29" i="1"/>
  <c r="AA21" i="1"/>
  <c r="AB21" i="1"/>
  <c r="Z21" i="1"/>
  <c r="AA13" i="1"/>
  <c r="AB13" i="1"/>
  <c r="Z13" i="1"/>
  <c r="AA5" i="1"/>
  <c r="AB5" i="1"/>
  <c r="Z5" i="1"/>
  <c r="AA46" i="1"/>
  <c r="AB46" i="1"/>
  <c r="Z46" i="1"/>
  <c r="AA38" i="1"/>
  <c r="AB38" i="1"/>
  <c r="Z38" i="1"/>
  <c r="AA30" i="1"/>
  <c r="AB30" i="1"/>
  <c r="Z30" i="1"/>
  <c r="AA22" i="1"/>
  <c r="AB22" i="1"/>
  <c r="Z22" i="1"/>
  <c r="AA14" i="1"/>
  <c r="AB14" i="1"/>
  <c r="Z14" i="1"/>
  <c r="AA6" i="1"/>
  <c r="AB6" i="1"/>
  <c r="Z6" i="1"/>
  <c r="AB47" i="1"/>
  <c r="Z47" i="1"/>
  <c r="AA47" i="1"/>
  <c r="AB39" i="1"/>
  <c r="Z39" i="1"/>
  <c r="AA39" i="1"/>
  <c r="AB31" i="1"/>
  <c r="Z31" i="1"/>
  <c r="AA31" i="1"/>
  <c r="AB23" i="1"/>
  <c r="Z23" i="1"/>
  <c r="AA23" i="1"/>
  <c r="AB15" i="1"/>
  <c r="Z15" i="1"/>
  <c r="AA15" i="1"/>
  <c r="AB7" i="1"/>
  <c r="Z7" i="1"/>
  <c r="AA7" i="1"/>
  <c r="AB48" i="1"/>
  <c r="Z48" i="1"/>
  <c r="AA48" i="1"/>
  <c r="AB40" i="1"/>
  <c r="Z40" i="1"/>
  <c r="AA40" i="1"/>
  <c r="AB32" i="1"/>
  <c r="Z32" i="1"/>
  <c r="AA32" i="1"/>
  <c r="AB24" i="1"/>
  <c r="Z24" i="1"/>
  <c r="AA24" i="1"/>
  <c r="AB16" i="1"/>
  <c r="Z16" i="1"/>
  <c r="AA16" i="1"/>
  <c r="AB8" i="1"/>
  <c r="Z8" i="1"/>
  <c r="AA8" i="1"/>
  <c r="AA49" i="1"/>
  <c r="AB49" i="1"/>
  <c r="Z49" i="1"/>
  <c r="AA41" i="1"/>
  <c r="AB41" i="1"/>
  <c r="Z41" i="1"/>
  <c r="AA33" i="1"/>
  <c r="AB33" i="1"/>
  <c r="Z33" i="1"/>
  <c r="AA25" i="1"/>
  <c r="AB25" i="1"/>
  <c r="Z25" i="1"/>
  <c r="AA17" i="1"/>
  <c r="AB17" i="1"/>
  <c r="Z17" i="1"/>
  <c r="AA9" i="1"/>
  <c r="AB9" i="1"/>
  <c r="Z9" i="1"/>
  <c r="AA50" i="1"/>
  <c r="AB50" i="1"/>
  <c r="Z50" i="1"/>
  <c r="AA42" i="1"/>
  <c r="AB42" i="1"/>
  <c r="Z42" i="1"/>
  <c r="AA34" i="1"/>
  <c r="AB34" i="1"/>
  <c r="Z34" i="1"/>
  <c r="AA26" i="1"/>
  <c r="AB26" i="1"/>
  <c r="Z26" i="1"/>
  <c r="AA18" i="1"/>
  <c r="AB18" i="1"/>
  <c r="Z18" i="1"/>
  <c r="AA10" i="1"/>
  <c r="AB10" i="1"/>
  <c r="Z10" i="1"/>
  <c r="AB2" i="1"/>
  <c r="Z2" i="1"/>
  <c r="AC51" i="1"/>
  <c r="AC43" i="1"/>
  <c r="AC35" i="1"/>
  <c r="AC27" i="1"/>
  <c r="AC19" i="1"/>
  <c r="AC11" i="1"/>
  <c r="AC3" i="1"/>
  <c r="AC44" i="1"/>
  <c r="AC36" i="1"/>
  <c r="AC28" i="1"/>
  <c r="AC20" i="1"/>
  <c r="AC12" i="1"/>
  <c r="AC4" i="1"/>
  <c r="AC45" i="1"/>
  <c r="AC37" i="1"/>
  <c r="AC29" i="1"/>
  <c r="AC21" i="1"/>
  <c r="AC13" i="1"/>
  <c r="AC5" i="1"/>
  <c r="AC46" i="1"/>
  <c r="AC38" i="1"/>
  <c r="AC30" i="1"/>
  <c r="AC22" i="1"/>
  <c r="AC14" i="1"/>
  <c r="AC6" i="1"/>
  <c r="AC47" i="1"/>
  <c r="AC39" i="1"/>
  <c r="AC31" i="1"/>
  <c r="AC23" i="1"/>
  <c r="AC15" i="1"/>
  <c r="AC7" i="1"/>
  <c r="AC48" i="1"/>
  <c r="AC40" i="1"/>
  <c r="AC32" i="1"/>
  <c r="AC24" i="1"/>
  <c r="AC16" i="1"/>
  <c r="AC8" i="1"/>
  <c r="AC49" i="1"/>
  <c r="AC41" i="1"/>
  <c r="AC33" i="1"/>
  <c r="AC25" i="1"/>
  <c r="AC17" i="1"/>
  <c r="AC9" i="1"/>
  <c r="AC50" i="1"/>
  <c r="AC42" i="1"/>
  <c r="AC34" i="1"/>
  <c r="AC26" i="1"/>
  <c r="AC18" i="1"/>
  <c r="AC10" i="1"/>
  <c r="AC2" i="1"/>
  <c r="AD2" i="1"/>
  <c r="AD18" i="1"/>
  <c r="AD34" i="1"/>
  <c r="AD50" i="1"/>
  <c r="AD17" i="1"/>
  <c r="AD33" i="1"/>
  <c r="AD49" i="1"/>
  <c r="AD16" i="1"/>
  <c r="AD32" i="1"/>
  <c r="AD48" i="1"/>
  <c r="AD15" i="1"/>
  <c r="AD31" i="1"/>
  <c r="AD47" i="1"/>
  <c r="AD14" i="1"/>
  <c r="AD30" i="1"/>
  <c r="AD46" i="1"/>
  <c r="AD13" i="1"/>
  <c r="AD29" i="1"/>
  <c r="AD45" i="1"/>
  <c r="AD12" i="1"/>
  <c r="AD28" i="1"/>
  <c r="AD44" i="1"/>
  <c r="AD11" i="1"/>
  <c r="AD27" i="1"/>
  <c r="AD43" i="1"/>
  <c r="AD10" i="1"/>
  <c r="AD26" i="1"/>
  <c r="AD42" i="1"/>
  <c r="AD9" i="1"/>
  <c r="AD25" i="1"/>
  <c r="AD41" i="1"/>
  <c r="AD8" i="1"/>
  <c r="AD24" i="1"/>
  <c r="AD40" i="1"/>
  <c r="AD7" i="1"/>
  <c r="AD23" i="1"/>
  <c r="AD39" i="1"/>
  <c r="AD6" i="1"/>
  <c r="AD22" i="1"/>
  <c r="AD38" i="1"/>
  <c r="AD5" i="1"/>
  <c r="AD21" i="1"/>
  <c r="AD37" i="1"/>
  <c r="AD4" i="1"/>
  <c r="AD20" i="1"/>
  <c r="AD36" i="1"/>
  <c r="AD3" i="1"/>
  <c r="AD19" i="1"/>
  <c r="AD35" i="1"/>
  <c r="AD51" i="1"/>
  <c r="AE51" i="1"/>
  <c r="AE19" i="1"/>
  <c r="AE36" i="1"/>
  <c r="AE4" i="1"/>
  <c r="AE21" i="1"/>
  <c r="AE38" i="1"/>
  <c r="AE6" i="1"/>
  <c r="AE23" i="1"/>
  <c r="AE40" i="1"/>
  <c r="AE8" i="1"/>
  <c r="AE25" i="1"/>
  <c r="AE42" i="1"/>
  <c r="AE10" i="1"/>
  <c r="AE27" i="1"/>
  <c r="AE44" i="1"/>
  <c r="AE12" i="1"/>
  <c r="AE29" i="1"/>
  <c r="AE46" i="1"/>
  <c r="AE14" i="1"/>
  <c r="AE31" i="1"/>
  <c r="AE48" i="1"/>
  <c r="AE16" i="1"/>
  <c r="AE33" i="1"/>
  <c r="AE50" i="1"/>
  <c r="AE35" i="1"/>
  <c r="AE3" i="1"/>
  <c r="AE20" i="1"/>
  <c r="AE37" i="1"/>
  <c r="AE5" i="1"/>
  <c r="AE22" i="1"/>
  <c r="AE39" i="1"/>
  <c r="AE7" i="1"/>
  <c r="AE24" i="1"/>
  <c r="AE41" i="1"/>
  <c r="AE9" i="1"/>
  <c r="AE26" i="1"/>
  <c r="AE43" i="1"/>
  <c r="AE11" i="1"/>
  <c r="AE28" i="1"/>
  <c r="AE45" i="1"/>
  <c r="AE13" i="1"/>
  <c r="AE30" i="1"/>
  <c r="AE47" i="1"/>
  <c r="AE15" i="1"/>
  <c r="AE32" i="1"/>
  <c r="AE49" i="1"/>
  <c r="AE17" i="1"/>
  <c r="AE34" i="1"/>
  <c r="AE2" i="1"/>
  <c r="AE18" i="1"/>
  <c r="AF18" i="1"/>
  <c r="AF34" i="1"/>
  <c r="AF49" i="1"/>
  <c r="AF15" i="1"/>
  <c r="AF30" i="1"/>
  <c r="AF45" i="1"/>
  <c r="AF11" i="1"/>
  <c r="AF26" i="1"/>
  <c r="AF41" i="1"/>
  <c r="AF7" i="1"/>
  <c r="AF22" i="1"/>
  <c r="AF37" i="1"/>
  <c r="AF3" i="1"/>
  <c r="AF50" i="1"/>
  <c r="AF16" i="1"/>
  <c r="AF31" i="1"/>
  <c r="AF46" i="1"/>
  <c r="AF12" i="1"/>
  <c r="AF27" i="1"/>
  <c r="AF42" i="1"/>
  <c r="AF8" i="1"/>
  <c r="AF38" i="1"/>
  <c r="AF19" i="1"/>
  <c r="AF2" i="1"/>
  <c r="AF17" i="1"/>
  <c r="AF32" i="1"/>
  <c r="AF47" i="1"/>
  <c r="AF13" i="1"/>
  <c r="AF28" i="1"/>
  <c r="AF43" i="1"/>
  <c r="AF9" i="1"/>
  <c r="AF24" i="1"/>
  <c r="AF39" i="1"/>
  <c r="AF5" i="1"/>
  <c r="AF20" i="1"/>
  <c r="AF35" i="1"/>
  <c r="AF33" i="1"/>
  <c r="AF48" i="1"/>
  <c r="AF14" i="1"/>
  <c r="AF29" i="1"/>
  <c r="AF44" i="1"/>
  <c r="AF10" i="1"/>
  <c r="AF25" i="1"/>
  <c r="AF40" i="1"/>
  <c r="AF6" i="1"/>
  <c r="AF21" i="1"/>
  <c r="AF36" i="1"/>
  <c r="AF51" i="1"/>
  <c r="AF23" i="1"/>
  <c r="AF4" i="1"/>
  <c r="AG4" i="1"/>
  <c r="AG51" i="1"/>
  <c r="AG21" i="1"/>
  <c r="AG40" i="1"/>
  <c r="AG10" i="1"/>
  <c r="AG29" i="1"/>
  <c r="AG48" i="1"/>
  <c r="AG35" i="1"/>
  <c r="AG5" i="1"/>
  <c r="AG24" i="1"/>
  <c r="AG43" i="1"/>
  <c r="AG13" i="1"/>
  <c r="AG32" i="1"/>
  <c r="AG2" i="1"/>
  <c r="AG38" i="1"/>
  <c r="AG42" i="1"/>
  <c r="AG12" i="1"/>
  <c r="AG31" i="1"/>
  <c r="AG50" i="1"/>
  <c r="AG37" i="1"/>
  <c r="AG7" i="1"/>
  <c r="AG26" i="1"/>
  <c r="AG45" i="1"/>
  <c r="AG15" i="1"/>
  <c r="AG34" i="1"/>
  <c r="AG23" i="1"/>
  <c r="AG36" i="1"/>
  <c r="AG6" i="1"/>
  <c r="AG25" i="1"/>
  <c r="AG44" i="1"/>
  <c r="AG14" i="1"/>
  <c r="AG33" i="1"/>
  <c r="AG20" i="1"/>
  <c r="AG39" i="1"/>
  <c r="AG9" i="1"/>
  <c r="AG28" i="1"/>
  <c r="AG47" i="1"/>
  <c r="AG17" i="1"/>
  <c r="AG19" i="1"/>
  <c r="AG8" i="1"/>
  <c r="AG27" i="1"/>
  <c r="AG46" i="1"/>
  <c r="AG16" i="1"/>
  <c r="AG3" i="1"/>
  <c r="AG22" i="1"/>
  <c r="AG41" i="1"/>
  <c r="AG11" i="1"/>
  <c r="AG30" i="1"/>
  <c r="AG49" i="1"/>
  <c r="AG18" i="1"/>
  <c r="P2" i="3" l="1"/>
  <c r="P3" i="3"/>
</calcChain>
</file>

<file path=xl/sharedStrings.xml><?xml version="1.0" encoding="utf-8"?>
<sst xmlns="http://schemas.openxmlformats.org/spreadsheetml/2006/main" count="432" uniqueCount="252">
  <si>
    <t>N°</t>
  </si>
  <si>
    <t>Matricule</t>
  </si>
  <si>
    <t>Prenom</t>
  </si>
  <si>
    <t>Nom</t>
  </si>
  <si>
    <t>Date Nais</t>
  </si>
  <si>
    <t>Lieu Nais</t>
  </si>
  <si>
    <t>Sexe</t>
  </si>
  <si>
    <t>Catégorie</t>
  </si>
  <si>
    <t>Etat_Civil</t>
  </si>
  <si>
    <t>Nb_epouse</t>
  </si>
  <si>
    <t>Nb_enfant</t>
  </si>
  <si>
    <t>Nb_hr_pointee</t>
  </si>
  <si>
    <t>H_Supp_15</t>
  </si>
  <si>
    <t>H_Supp_40</t>
  </si>
  <si>
    <t>H_Supp_60</t>
  </si>
  <si>
    <t>H_Supp_100</t>
  </si>
  <si>
    <t>Prime</t>
  </si>
  <si>
    <t>Avantage</t>
  </si>
  <si>
    <t>Indemnité</t>
  </si>
  <si>
    <t>IPM</t>
  </si>
  <si>
    <t>Avance_Ac</t>
  </si>
  <si>
    <t>Opposition</t>
  </si>
  <si>
    <t>salaire_de_base</t>
  </si>
  <si>
    <t>heures_supplémentaires</t>
  </si>
  <si>
    <t>salaire_brut_social</t>
  </si>
  <si>
    <t>salaire_brut_fiscal</t>
  </si>
  <si>
    <t>Regime_general</t>
  </si>
  <si>
    <t>Regime_cadre</t>
  </si>
  <si>
    <t>TRIMF</t>
  </si>
  <si>
    <t>IR</t>
  </si>
  <si>
    <t>Total_retenues</t>
  </si>
  <si>
    <t>salaire_net</t>
  </si>
  <si>
    <t>M</t>
  </si>
  <si>
    <t>B</t>
  </si>
  <si>
    <t>F</t>
  </si>
  <si>
    <t>C</t>
  </si>
  <si>
    <t>A</t>
  </si>
  <si>
    <t>SEXE</t>
  </si>
  <si>
    <t>PART</t>
  </si>
  <si>
    <t>CATEGORIE</t>
  </si>
  <si>
    <t>IPRES</t>
  </si>
  <si>
    <t>RG</t>
  </si>
  <si>
    <t>RC</t>
  </si>
  <si>
    <t>1231-BA/B</t>
  </si>
  <si>
    <t>ADAMA</t>
  </si>
  <si>
    <t>BA</t>
  </si>
  <si>
    <t>16/05/1961</t>
  </si>
  <si>
    <t>DAKAR</t>
  </si>
  <si>
    <t>Marié</t>
  </si>
  <si>
    <t>1232-BAMPASSY/B</t>
  </si>
  <si>
    <t>ALEX</t>
  </si>
  <si>
    <t>BAMPASSY</t>
  </si>
  <si>
    <t>16/05/1974</t>
  </si>
  <si>
    <t>TAMBA</t>
  </si>
  <si>
    <t>Célibataire</t>
  </si>
  <si>
    <t>1233-BEYE/B</t>
  </si>
  <si>
    <t>ALA</t>
  </si>
  <si>
    <t>BEYE</t>
  </si>
  <si>
    <t>22/12/1967</t>
  </si>
  <si>
    <t>GOUDIRY</t>
  </si>
  <si>
    <t>1234-BOYE/C</t>
  </si>
  <si>
    <t>MEDOUNE</t>
  </si>
  <si>
    <t>BOYE</t>
  </si>
  <si>
    <t>22/02/1961</t>
  </si>
  <si>
    <t>FATICK</t>
  </si>
  <si>
    <t>1235-CISSE/C</t>
  </si>
  <si>
    <t>LAHAT</t>
  </si>
  <si>
    <t>CISSE</t>
  </si>
  <si>
    <t>GUEDIAWAYE</t>
  </si>
  <si>
    <t>1236-DEME/C</t>
  </si>
  <si>
    <t>FARY</t>
  </si>
  <si>
    <t>DEME</t>
  </si>
  <si>
    <t>RANEROU</t>
  </si>
  <si>
    <t>MBOMBE</t>
  </si>
  <si>
    <t>DIAGNE</t>
  </si>
  <si>
    <t>PIKINE</t>
  </si>
  <si>
    <t>YACINE</t>
  </si>
  <si>
    <t>DIALLO</t>
  </si>
  <si>
    <t>29/12/1974</t>
  </si>
  <si>
    <t>ALIOUNE NDIAYE</t>
  </si>
  <si>
    <t>13/07/1971</t>
  </si>
  <si>
    <t>KARIM ABDEL</t>
  </si>
  <si>
    <t>DIAME</t>
  </si>
  <si>
    <t>KEUR MASSAR</t>
  </si>
  <si>
    <t>Net_à_payer</t>
  </si>
  <si>
    <t>45611-DIAO/B</t>
  </si>
  <si>
    <t>AISSATOU SECK</t>
  </si>
  <si>
    <t>DIAO</t>
  </si>
  <si>
    <t>ZIGUINCHOR</t>
  </si>
  <si>
    <t>12312-DIATTA/B</t>
  </si>
  <si>
    <t>LEON</t>
  </si>
  <si>
    <t>DIATTA</t>
  </si>
  <si>
    <t>OUSSOUYE</t>
  </si>
  <si>
    <t>45613-DIAW/B</t>
  </si>
  <si>
    <t>AWA</t>
  </si>
  <si>
    <t>DIAW</t>
  </si>
  <si>
    <t>31/12/1975</t>
  </si>
  <si>
    <t>DIOURBEL</t>
  </si>
  <si>
    <t>12314-DIOP/C</t>
  </si>
  <si>
    <t>HABIB</t>
  </si>
  <si>
    <t>DIOP</t>
  </si>
  <si>
    <t>19/02/1972</t>
  </si>
  <si>
    <t>BAMBEY</t>
  </si>
  <si>
    <t>12315-DIOP/C</t>
  </si>
  <si>
    <t>BABACAR</t>
  </si>
  <si>
    <t>23/01/1962</t>
  </si>
  <si>
    <t>12316-DIOUF/C</t>
  </si>
  <si>
    <t>MODOU</t>
  </si>
  <si>
    <t>DIOUF</t>
  </si>
  <si>
    <t>25/08/1963</t>
  </si>
  <si>
    <t>KAFFRINE</t>
  </si>
  <si>
    <t>12317-DIOUF/C</t>
  </si>
  <si>
    <t>HENRY</t>
  </si>
  <si>
    <t>LOMPOUL</t>
  </si>
  <si>
    <t>12318-DIOUM/A</t>
  </si>
  <si>
    <t>ASSANE</t>
  </si>
  <si>
    <t>DIOUM</t>
  </si>
  <si>
    <t>28/05/1963</t>
  </si>
  <si>
    <t>MBOUR</t>
  </si>
  <si>
    <t>12319-FALL/C</t>
  </si>
  <si>
    <t>SENGANE</t>
  </si>
  <si>
    <t>FALL</t>
  </si>
  <si>
    <t>26/01/1969</t>
  </si>
  <si>
    <t>JOAL</t>
  </si>
  <si>
    <t>12320-FALL/B</t>
  </si>
  <si>
    <t>LAMINE</t>
  </si>
  <si>
    <t>13/01/1968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</si>
  <si>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</si>
  <si>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</si>
  <si>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</si>
  <si>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</si>
  <si>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</si>
  <si>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</si>
  <si>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</si>
  <si>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</si>
  <si>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</si>
  <si>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</si>
  <si>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</si>
  <si>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</si>
  <si>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</si>
  <si>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</si>
  <si>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</si>
  <si>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27/07/1964</t>
  </si>
  <si>
    <t>SEDHIOU</t>
  </si>
  <si>
    <t>45625-GUEYE/C</t>
  </si>
  <si>
    <t>KINE</t>
  </si>
  <si>
    <t>27/06/1961</t>
  </si>
  <si>
    <t>AERO LAO</t>
  </si>
  <si>
    <t>12326-KANDJI/C</t>
  </si>
  <si>
    <t>MADIOP</t>
  </si>
  <si>
    <t>KANDJI</t>
  </si>
  <si>
    <t>KEDOUGOU</t>
  </si>
  <si>
    <t>12327-KARE/A</t>
  </si>
  <si>
    <t>KARE</t>
  </si>
  <si>
    <t>BAKEL</t>
  </si>
  <si>
    <t>12328-KEBE/B</t>
  </si>
  <si>
    <t>THOMAS</t>
  </si>
  <si>
    <t>KEBE</t>
  </si>
  <si>
    <t>13/02/1962</t>
  </si>
  <si>
    <t>LOUGA</t>
  </si>
  <si>
    <t>45629-LAM/A</t>
  </si>
  <si>
    <t>AMY</t>
  </si>
  <si>
    <t>LAM</t>
  </si>
  <si>
    <t>26/02/1973</t>
  </si>
  <si>
    <t>TIVAOUNE</t>
  </si>
  <si>
    <t>MOUSTAPHA DIP</t>
  </si>
  <si>
    <t>LO</t>
  </si>
  <si>
    <t>28/09/1972</t>
  </si>
  <si>
    <t>LINGUERE</t>
  </si>
  <si>
    <t>12331-LY/A</t>
  </si>
  <si>
    <t>ABDOULAYE MASSEC</t>
  </si>
  <si>
    <t>LY</t>
  </si>
  <si>
    <t>26/01/1972</t>
  </si>
  <si>
    <t>LAMBAYE</t>
  </si>
  <si>
    <t>12332-MBAYE/B</t>
  </si>
  <si>
    <t>ABDOU</t>
  </si>
  <si>
    <t>MBAYE</t>
  </si>
  <si>
    <t>26/08/1972</t>
  </si>
  <si>
    <t>KOLDA</t>
  </si>
  <si>
    <t>12333-MBENGUE/B</t>
  </si>
  <si>
    <t>KARIM</t>
  </si>
  <si>
    <t>MBENGUE</t>
  </si>
  <si>
    <t>26/09/1963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</si>
  <si>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</si>
  <si>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</si>
  <si>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</si>
  <si>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</si>
  <si>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</si>
  <si>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</si>
  <si>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</si>
  <si>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</si>
  <si>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OUAKAM</t>
  </si>
  <si>
    <t>12336-PREIRA/B</t>
  </si>
  <si>
    <t>FRANCOIS</t>
  </si>
  <si>
    <t>PREIRA</t>
  </si>
  <si>
    <t>21/02/1962</t>
  </si>
  <si>
    <t>PARIS</t>
  </si>
  <si>
    <t>12337-SAGNA/C</t>
  </si>
  <si>
    <t>SAGNA</t>
  </si>
  <si>
    <t>FREDERIC</t>
  </si>
  <si>
    <t>29/10/1970</t>
  </si>
  <si>
    <t>45639-SAMB/C</t>
  </si>
  <si>
    <t>DIARRY</t>
  </si>
  <si>
    <t>SAMB</t>
  </si>
  <si>
    <t>25/07/1972</t>
  </si>
  <si>
    <t>45640-SAMB/C</t>
  </si>
  <si>
    <t>ALIMATOU</t>
  </si>
  <si>
    <t>12341-SARR/A</t>
  </si>
  <si>
    <t>OMAR</t>
  </si>
  <si>
    <t>SARR</t>
  </si>
  <si>
    <t>12342-SECK/C</t>
  </si>
  <si>
    <t>MAURY</t>
  </si>
  <si>
    <t>SECK</t>
  </si>
  <si>
    <t>THIES</t>
  </si>
  <si>
    <t>12343-SENE/C</t>
  </si>
  <si>
    <t>IBRAHIMA</t>
  </si>
  <si>
    <t>SENE</t>
  </si>
  <si>
    <t>MBACKE</t>
  </si>
  <si>
    <t>12344-SEYDI/B</t>
  </si>
  <si>
    <t>MOUSSA</t>
  </si>
  <si>
    <t>SEYDI</t>
  </si>
  <si>
    <t>45645-SOW/B</t>
  </si>
  <si>
    <t>KHADY</t>
  </si>
  <si>
    <t>SOW</t>
  </si>
  <si>
    <t>16/10/1972</t>
  </si>
  <si>
    <t>CAS CAS</t>
  </si>
  <si>
    <t>12346-SY/B</t>
  </si>
  <si>
    <t>ALPHA</t>
  </si>
  <si>
    <t>SY</t>
  </si>
  <si>
    <t>25/05/1965</t>
  </si>
  <si>
    <t>12347-TALL/B</t>
  </si>
  <si>
    <t>MOUSTAPHA</t>
  </si>
  <si>
    <t>TALL</t>
  </si>
  <si>
    <t>18/08/1970</t>
  </si>
  <si>
    <t>45648-TALL/B</t>
  </si>
  <si>
    <t>NDEYE</t>
  </si>
  <si>
    <t>25/12/1961</t>
  </si>
  <si>
    <t>12349-TAVARESE/B</t>
  </si>
  <si>
    <t>PHILLIPE MODOU</t>
  </si>
  <si>
    <t>TAVARESE</t>
  </si>
  <si>
    <t>12350-THIAM/B</t>
  </si>
  <si>
    <t>KHADIM</t>
  </si>
  <si>
    <t>THIAM</t>
  </si>
  <si>
    <t>12330-LO/B</t>
  </si>
  <si>
    <t>12338-SAGNA/C</t>
  </si>
  <si>
    <t>4567-DIAGNE/B</t>
  </si>
  <si>
    <t>4568-DIALLO/C</t>
  </si>
  <si>
    <t>1239-DIALLO/B</t>
  </si>
  <si>
    <t>12310-DIAME/C</t>
  </si>
  <si>
    <t>ETAT CIVIL</t>
  </si>
  <si>
    <t>Age</t>
  </si>
  <si>
    <t>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</si>
</sst>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4">
    <dxf>
      <numFmt numFmtId="0" formatCode="General"/>
    </dxf>
    <dxf>
      <numFmt numFmtId="164" formatCode="yy"/>
    </dxf>
    <dxf>
      <numFmt numFmtId="164" formatCode="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</a:t>
            </a:r>
            <a:r>
              <a:rPr lang="en-US" baseline="0"/>
              <a:t> catégorielle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Feuil3!$D$1</c:f>
              <c:strCache>
                <c:ptCount val="1"/>
                <c:pt idx="0">
                  <c:v>PART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Feuil3!$C$2:$C$4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Feuil3!$D$2:$D$4</c:f>
              <c:numCache>
                <c:formatCode>General</c:formatCode>
                <c:ptCount val="3"/>
                <c:pt idx="0">
                  <c:v>4</c:v>
                </c:pt>
                <c:pt idx="1">
                  <c:v>26</c:v>
                </c:pt>
                <c:pt idx="2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42933872"/>
        <c:axId val="-742936592"/>
      </c:barChart>
      <c:catAx>
        <c:axId val="-74293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742936592"/>
        <c:crosses val="autoZero"/>
        <c:auto val="1"/>
        <c:lblAlgn val="ctr"/>
        <c:lblOffset val="100"/>
        <c:noMultiLvlLbl val="0"/>
      </c:catAx>
      <c:valAx>
        <c:axId val="-74293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74293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par sexe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Feuil3!$F$2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Feuil3!$G$1</c:f>
              <c:strCache>
                <c:ptCount val="1"/>
                <c:pt idx="0">
                  <c:v>PART</c:v>
                </c:pt>
              </c:strCache>
            </c:strRef>
          </c:cat>
          <c:val>
            <c:numRef>
              <c:f>Feuil3!$G$2</c:f>
              <c:numCache>
                <c:formatCode>General</c:formatCode>
                <c:ptCount val="1"/>
                <c:pt idx="0">
                  <c:v>38</c:v>
                </c:pt>
              </c:numCache>
            </c:numRef>
          </c:val>
        </c:ser>
        <c:ser>
          <c:idx val="1"/>
          <c:order val="1"/>
          <c:tx>
            <c:strRef>
              <c:f>Feuil3!$F$3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Feuil3!$G$1</c:f>
              <c:strCache>
                <c:ptCount val="1"/>
                <c:pt idx="0">
                  <c:v>PART</c:v>
                </c:pt>
              </c:strCache>
            </c:strRef>
          </c:cat>
          <c:val>
            <c:numRef>
              <c:f>Feuil3!$G$3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42946928"/>
        <c:axId val="-742945296"/>
      </c:barChart>
      <c:catAx>
        <c:axId val="-74294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742945296"/>
        <c:crosses val="autoZero"/>
        <c:auto val="1"/>
        <c:lblAlgn val="ctr"/>
        <c:lblOffset val="100"/>
        <c:noMultiLvlLbl val="0"/>
      </c:catAx>
      <c:valAx>
        <c:axId val="-74294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74294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</a:t>
            </a:r>
            <a:r>
              <a:rPr lang="en-US" baseline="0"/>
              <a:t> par Etat civil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Feuil3!$J$1</c:f>
              <c:strCache>
                <c:ptCount val="1"/>
                <c:pt idx="0">
                  <c:v>PART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Feuil3!$I$2:$I$3</c:f>
              <c:strCache>
                <c:ptCount val="2"/>
                <c:pt idx="0">
                  <c:v>Marié</c:v>
                </c:pt>
                <c:pt idx="1">
                  <c:v>Célibataire</c:v>
                </c:pt>
              </c:strCache>
            </c:strRef>
          </c:cat>
          <c:val>
            <c:numRef>
              <c:f>Feuil3!$J$2:$J$3</c:f>
              <c:numCache>
                <c:formatCode>General</c:formatCode>
                <c:ptCount val="2"/>
                <c:pt idx="0">
                  <c:v>30</c:v>
                </c:pt>
                <c:pt idx="1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par régime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Feuil3!$O$2</c:f>
              <c:strCache>
                <c:ptCount val="1"/>
                <c:pt idx="0">
                  <c:v>RG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Feuil3!$P$1</c:f>
              <c:strCache>
                <c:ptCount val="1"/>
                <c:pt idx="0">
                  <c:v>PART</c:v>
                </c:pt>
              </c:strCache>
            </c:strRef>
          </c:cat>
          <c:val>
            <c:numRef>
              <c:f>Feuil3!$P$2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</c:ser>
        <c:ser>
          <c:idx val="1"/>
          <c:order val="1"/>
          <c:tx>
            <c:strRef>
              <c:f>Feuil3!$O$3</c:f>
              <c:strCache>
                <c:ptCount val="1"/>
                <c:pt idx="0">
                  <c:v>RC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Feuil3!$P$1</c:f>
              <c:strCache>
                <c:ptCount val="1"/>
                <c:pt idx="0">
                  <c:v>PART</c:v>
                </c:pt>
              </c:strCache>
            </c:strRef>
          </c:cat>
          <c:val>
            <c:numRef>
              <c:f>Feuil3!$P$3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42944752"/>
        <c:axId val="-742944208"/>
      </c:barChart>
      <c:catAx>
        <c:axId val="-74294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742944208"/>
        <c:crosses val="autoZero"/>
        <c:auto val="1"/>
        <c:lblAlgn val="ctr"/>
        <c:lblOffset val="100"/>
        <c:noMultiLvlLbl val="0"/>
      </c:catAx>
      <c:valAx>
        <c:axId val="-74294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74294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</a:t>
            </a:r>
            <a:r>
              <a:rPr lang="en-US" baseline="0"/>
              <a:t> des Ages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Feuil3!$S$1</c:f>
              <c:strCache>
                <c:ptCount val="1"/>
                <c:pt idx="0">
                  <c:v>Part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Feuil3!$R$2:$R$10</c:f>
              <c:numCache>
                <c:formatCode>General</c:formatCode>
                <c:ptCount val="9"/>
                <c:pt idx="0">
                  <c:v>51</c:v>
                </c:pt>
                <c:pt idx="1">
                  <c:v>52</c:v>
                </c:pt>
                <c:pt idx="2">
                  <c:v>53</c:v>
                </c:pt>
                <c:pt idx="3">
                  <c:v>54</c:v>
                </c:pt>
                <c:pt idx="4">
                  <c:v>55</c:v>
                </c:pt>
                <c:pt idx="5">
                  <c:v>56</c:v>
                </c:pt>
                <c:pt idx="6">
                  <c:v>57</c:v>
                </c:pt>
                <c:pt idx="7">
                  <c:v>58</c:v>
                </c:pt>
                <c:pt idx="8">
                  <c:v>59</c:v>
                </c:pt>
              </c:numCache>
            </c:numRef>
          </c:cat>
          <c:val>
            <c:numRef>
              <c:f>Feuil3!$S$2:$S$10</c:f>
              <c:numCache>
                <c:formatCode>General</c:formatCode>
                <c:ptCount val="9"/>
                <c:pt idx="0">
                  <c:v>4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42943664"/>
        <c:axId val="-742946384"/>
      </c:barChart>
      <c:catAx>
        <c:axId val="-74294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742946384"/>
        <c:crosses val="autoZero"/>
        <c:auto val="1"/>
        <c:lblAlgn val="ctr"/>
        <c:lblOffset val="100"/>
        <c:noMultiLvlLbl val="0"/>
      </c:catAx>
      <c:valAx>
        <c:axId val="-74294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74294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47625</xdr:rowOff>
    </xdr:from>
    <xdr:to>
      <xdr:col>15</xdr:col>
      <xdr:colOff>742950</xdr:colOff>
      <xdr:row>3</xdr:row>
      <xdr:rowOff>161925</xdr:rowOff>
    </xdr:to>
    <xdr:sp macro="" textlink="">
      <xdr:nvSpPr>
        <xdr:cNvPr id="2" name="Rectangle à coins arrondis 1"/>
        <xdr:cNvSpPr/>
      </xdr:nvSpPr>
      <xdr:spPr>
        <a:xfrm>
          <a:off x="209550" y="47625"/>
          <a:ext cx="11382375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3600"/>
            <a:t>TABLEAU</a:t>
          </a:r>
          <a:r>
            <a:rPr lang="fr-FR" sz="3600" baseline="0"/>
            <a:t> DE BORD  -SALARIES</a:t>
          </a:r>
          <a:endParaRPr lang="fr-FR" sz="3600"/>
        </a:p>
      </xdr:txBody>
    </xdr:sp>
    <xdr:clientData/>
  </xdr:twoCellAnchor>
  <xdr:twoCellAnchor>
    <xdr:from>
      <xdr:col>1</xdr:col>
      <xdr:colOff>9525</xdr:colOff>
      <xdr:row>5</xdr:row>
      <xdr:rowOff>9525</xdr:rowOff>
    </xdr:from>
    <xdr:to>
      <xdr:col>7</xdr:col>
      <xdr:colOff>9525</xdr:colOff>
      <xdr:row>19</xdr:row>
      <xdr:rowOff>85725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5</xdr:row>
      <xdr:rowOff>0</xdr:rowOff>
    </xdr:from>
    <xdr:to>
      <xdr:col>14</xdr:col>
      <xdr:colOff>9525</xdr:colOff>
      <xdr:row>19</xdr:row>
      <xdr:rowOff>76200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0</xdr:rowOff>
    </xdr:from>
    <xdr:to>
      <xdr:col>7</xdr:col>
      <xdr:colOff>0</xdr:colOff>
      <xdr:row>34</xdr:row>
      <xdr:rowOff>76200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20</xdr:row>
      <xdr:rowOff>9525</xdr:rowOff>
    </xdr:from>
    <xdr:to>
      <xdr:col>14</xdr:col>
      <xdr:colOff>0</xdr:colOff>
      <xdr:row>34</xdr:row>
      <xdr:rowOff>85725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9525</xdr:colOff>
      <xdr:row>35</xdr:row>
      <xdr:rowOff>28575</xdr:rowOff>
    </xdr:from>
    <xdr:to>
      <xdr:col>7</xdr:col>
      <xdr:colOff>9525</xdr:colOff>
      <xdr:row>49</xdr:row>
      <xdr:rowOff>104775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1" displayName="Tableau1" ref="A1:AG51" totalsRowShown="0">
  <autoFilter ref="A1:AG51"/>
  <tableColumns count="33">
    <tableColumn id="1" name="N°"/>
    <tableColumn id="2" name="Matricule"/>
    <tableColumn id="3" name="Prenom"/>
    <tableColumn id="4" name="Nom"/>
    <tableColumn id="5" name="Date Nais"/>
    <tableColumn id="6" name="Lieu Nais"/>
    <tableColumn id="7" name="Sexe"/>
    <tableColumn id="8" name="Catégorie"/>
    <tableColumn id="9" name="Etat_Civil"/>
    <tableColumn id="10" name="Nb_epouse"/>
    <tableColumn id="11" name="Nb_enfant"/>
    <tableColumn id="12" name="Nb_hr_pointee"/>
    <tableColumn id="13" name="H_Supp_15"/>
    <tableColumn id="14" name="H_Supp_40"/>
    <tableColumn id="15" name="H_Supp_60"/>
    <tableColumn id="16" name="H_Supp_100"/>
    <tableColumn id="17" name="Prime"/>
    <tableColumn id="18" name="Avantage"/>
    <tableColumn id="19" name="Indemnité"/>
    <tableColumn id="20" name="IPM"/>
    <tableColumn id="21" name="Avance_Ac"/>
    <tableColumn id="22" name="Opposition"/>
    <tableColumn id="23" name="salaire_de_base" dataDxfId="13">
      <calculatedColumnFormula>salaire_de_base(Tableau1[[#This Row],[Nb_hr_pointee]],Tableau1[[#This Row],[Catégorie]])</calculatedColumnFormula>
    </tableColumn>
    <tableColumn id="24" name="heures_supplémentaires" dataDxfId="12">
      <calculatedColumnFormula>heures_supplémentaires(Tableau1[[#This Row],[Catégorie]],Tableau1[[#This Row],[H_Supp_15]],Tableau1[[#This Row],[H_Supp_40]],Tableau1[[#This Row],[H_Supp_60]],Tableau1[[#This Row],[H_Supp_100]])</calculatedColumnFormula>
    </tableColumn>
    <tableColumn id="25" name="salaire_brut_social" dataDxfId="11">
      <calculatedColumnFormula>salaire_brut_social(Tableau1[[#This Row],[Prime]],Tableau1[[#This Row],[salaire_de_base]],Tableau1[[#This Row],[heures_supplémentaires]])</calculatedColumnFormula>
    </tableColumn>
    <tableColumn id="26" name="salaire_brut_fiscal" dataDxfId="10">
      <calculatedColumnFormula>salaire_brut_fiscal(Tableau1[[#This Row],[Avantage]],Tableau1[[#This Row],[salaire_brut_social]])</calculatedColumnFormula>
    </tableColumn>
    <tableColumn id="27" name="Regime_general" dataDxfId="9">
      <calculatedColumnFormula>regime_general(Tableau1[[#This Row],[salaire_brut_social]])</calculatedColumnFormula>
    </tableColumn>
    <tableColumn id="28" name="Regime_cadre" dataDxfId="8">
      <calculatedColumnFormula>regime_cadre(Tableau1[[#This Row],[salaire_brut_social]])</calculatedColumnFormula>
    </tableColumn>
    <tableColumn id="29" name="TRIMF" dataDxfId="7">
      <calculatedColumnFormula>TRIMF(Tableau1[[#This Row],[Etat_Civil]],Tableau1[[#This Row],[Nb_epouse]],Tableau1[[#This Row],[salaire_brut_fiscal]],Tableau1[[#This Row],[Sexe]])</calculatedColumnFormula>
    </tableColumn>
    <tableColumn id="30" name="IR" dataDxfId="6">
      <calculatedColumnFormula>IR(Tableau1[[#This Row],[Etat_Civil]],Tableau1[[#This Row],[Nb_enfant]],Tableau1[[#This Row],[Nb_enfant]]+Tableau1[[#This Row],[salaire_brut_fiscal]])</calculatedColumnFormula>
    </tableColumn>
    <tableColumn id="31" name="Total_retenues" dataDxfId="5">
      <calculatedColumnFormula>total_retenues(Tableau1[[#This Row],[Regime_general]],Tableau1[[#This Row],[Regime_cadre]],Tableau1[[#This Row],[IPM]],Tableau1[[#This Row],[TRIMF]],Tableau1[[#This Row],[IR]],Tableau1[[#This Row],[Avance_Ac]],Tableau1[[#This Row],[Opposition]])</calculatedColumnFormula>
    </tableColumn>
    <tableColumn id="32" name="salaire_net" dataDxfId="4">
      <calculatedColumnFormula>salaire_net(Tableau1[[#This Row],[salaire_brut_social]],Tableau1[[#This Row],[Total_retenues]])</calculatedColumnFormula>
    </tableColumn>
    <tableColumn id="33" name="Net_à_payer" dataDxfId="3">
      <calculatedColumnFormula>net_a_payer(Tableau1[[#This Row],[salaire_net]],Tableau1[[#This Row],[Indemnité]])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0" name="Tableau10" displayName="Tableau10" ref="AJ1:AJ51" totalsRowShown="0" dataDxfId="2">
  <autoFilter ref="AJ1:AJ51"/>
  <tableColumns count="1">
    <tableColumn id="1" name="Age" dataDxfId="1">
      <calculatedColumnFormula>age(Tableau1[[#This Row],[Date Nais]])</calculatedColumnFormula>
    </tableColumn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C1:D4" totalsRowShown="0">
  <autoFilter ref="C1:D4"/>
  <tableColumns count="2">
    <tableColumn id="1" name="CATEGORIE"/>
    <tableColumn id="2" name="PAR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au6" displayName="Tableau6" ref="F1:G3" totalsRowShown="0">
  <autoFilter ref="F1:G3"/>
  <tableColumns count="2">
    <tableColumn id="1" name="SEXE"/>
    <tableColumn id="2" name="PART">
      <calculatedColumnFormula>COUNTIF(Feuil1!G:G,"F")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Tableau7" displayName="Tableau7" ref="O1:P3" totalsRowShown="0">
  <autoFilter ref="O1:P3"/>
  <tableColumns count="2">
    <tableColumn id="1" name="IPRES"/>
    <tableColumn id="2" name="PART">
      <calculatedColumnFormula>COUNTIF(Feuil1!AA:AA,20160)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8" name="Tableau8" displayName="Tableau8" ref="I1:J3" totalsRowShown="0">
  <autoFilter ref="I1:J3"/>
  <tableColumns count="2">
    <tableColumn id="1" name="ETAT CIVIL"/>
    <tableColumn id="2" name="PART">
      <calculatedColumnFormula>COUNTIF(Feuil1!I:I,"Célibataire")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11" name="Tableau11" displayName="Tableau11" ref="R1:S10" totalsRowShown="0">
  <autoFilter ref="R1:S10"/>
  <tableColumns count="2">
    <tableColumn id="1" name="Age" dataDxfId="0"/>
    <tableColumn id="2" name="Par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J51"/>
  <sheetViews>
    <sheetView tabSelected="1" topLeftCell="M1" zoomScaleNormal="100" workbookViewId="0">
      <selection activeCell="AK13" sqref="AK13"/>
    </sheetView>
  </sheetViews>
  <sheetFormatPr baseColWidth="10" defaultRowHeight="15" x14ac:dyDescent="0.25"/>
  <cols>
    <col min="2" max="2" width="15.5703125" customWidth="1"/>
    <col min="3" max="3" width="17.140625" customWidth="1"/>
    <col min="5" max="5" width="11.5703125" customWidth="1"/>
    <col min="8" max="8" width="11.7109375" customWidth="1"/>
    <col min="10" max="10" width="13.28515625" customWidth="1"/>
    <col min="11" max="11" width="12.5703125" customWidth="1"/>
    <col min="12" max="12" width="16.5703125" customWidth="1"/>
    <col min="13" max="15" width="12.85546875" customWidth="1"/>
    <col min="16" max="16" width="13.85546875" customWidth="1"/>
    <col min="19" max="19" width="12.42578125" customWidth="1"/>
    <col min="21" max="21" width="12.7109375" customWidth="1"/>
    <col min="22" max="22" width="13" customWidth="1"/>
    <col min="23" max="23" width="17.42578125" customWidth="1"/>
    <col min="24" max="24" width="25.28515625" customWidth="1"/>
    <col min="25" max="25" width="19.7109375" customWidth="1"/>
    <col min="26" max="26" width="19.28515625" customWidth="1"/>
    <col min="27" max="27" width="17.5703125" customWidth="1"/>
    <col min="28" max="28" width="15.7109375" customWidth="1"/>
    <col min="30" max="30" width="11.42578125" customWidth="1"/>
    <col min="31" max="31" width="16.5703125" customWidth="1"/>
    <col min="32" max="32" width="13" customWidth="1"/>
    <col min="36" max="36" width="11.5703125" customWidth="1"/>
  </cols>
  <sheetData>
    <row r="1" spans="1:36" ht="15.75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84</v>
      </c>
      <c r="AJ1" t="s">
        <v>250</v>
      </c>
    </row>
    <row r="2" spans="1:36" x14ac:dyDescent="0.25">
      <c r="A2">
        <v>1</v>
      </c>
      <c r="B2" t="s">
        <v>43</v>
      </c>
      <c r="C2" t="s">
        <v>44</v>
      </c>
      <c r="D2" t="s">
        <v>45</v>
      </c>
      <c r="E2" t="s">
        <v>46</v>
      </c>
      <c r="F2" t="s">
        <v>47</v>
      </c>
      <c r="G2" t="s">
        <v>32</v>
      </c>
      <c r="H2" t="s">
        <v>33</v>
      </c>
      <c r="I2" t="s">
        <v>48</v>
      </c>
      <c r="J2">
        <v>1</v>
      </c>
      <c r="K2">
        <v>3</v>
      </c>
      <c r="L2">
        <v>160</v>
      </c>
      <c r="M2">
        <v>0</v>
      </c>
      <c r="N2">
        <v>0</v>
      </c>
      <c r="O2">
        <v>0</v>
      </c>
      <c r="P2">
        <v>8</v>
      </c>
      <c r="Q2">
        <v>0</v>
      </c>
      <c r="R2">
        <v>0</v>
      </c>
      <c r="S2">
        <v>17500</v>
      </c>
      <c r="T2">
        <v>3000</v>
      </c>
      <c r="U2">
        <v>25000</v>
      </c>
      <c r="V2">
        <v>0</v>
      </c>
      <c r="W2">
        <f>salaire_de_base(Tableau1[[#This Row],[Nb_hr_pointee]],Tableau1[[#This Row],[Catégorie]])</f>
        <v>323200</v>
      </c>
      <c r="X2">
        <f>heures_supplémentaires(Tableau1[[#This Row],[Catégorie]],Tableau1[[#This Row],[H_Supp_15]],Tableau1[[#This Row],[H_Supp_40]],Tableau1[[#This Row],[H_Supp_60]],Tableau1[[#This Row],[H_Supp_100]])</f>
        <v>32320</v>
      </c>
      <c r="Y2">
        <f>salaire_brut_social(Tableau1[[#This Row],[Prime]],Tableau1[[#This Row],[salaire_de_base]],Tableau1[[#This Row],[heures_supplémentaires]])</f>
        <v>355520</v>
      </c>
      <c r="Z2">
        <f>salaire_brut_fiscal(Tableau1[[#This Row],[Avantage]],Tableau1[[#This Row],[salaire_brut_social]])</f>
        <v>355520</v>
      </c>
      <c r="AA2">
        <f>regime_general(Tableau1[[#This Row],[salaire_brut_social]])</f>
        <v>19909.12</v>
      </c>
      <c r="AB2">
        <f>regime_cadre(Tableau1[[#This Row],[salaire_brut_social]])</f>
        <v>0</v>
      </c>
      <c r="AC2">
        <f>TRIMF(Tableau1[[#This Row],[Etat_Civil]],Tableau1[[#This Row],[Nb_epouse]],Tableau1[[#This Row],[salaire_brut_fiscal]],Tableau1[[#This Row],[Sexe]])</f>
        <v>1800</v>
      </c>
      <c r="AD2">
        <f>IR(Tableau1[[#This Row],[Etat_Civil]],Tableau1[[#This Row],[Nb_enfant]],Tableau1[[#This Row],[Nb_enfant]]+Tableau1[[#This Row],[salaire_brut_fiscal]])</f>
        <v>27823.566666666662</v>
      </c>
      <c r="AE2">
        <f>total_retenues(Tableau1[[#This Row],[Regime_general]],Tableau1[[#This Row],[Regime_cadre]],Tableau1[[#This Row],[IPM]],Tableau1[[#This Row],[TRIMF]],Tableau1[[#This Row],[IR]],Tableau1[[#This Row],[Avance_Ac]],Tableau1[[#This Row],[Opposition]])</f>
        <v>77532.686666666661</v>
      </c>
      <c r="AF2">
        <f>salaire_net(Tableau1[[#This Row],[salaire_brut_social]],Tableau1[[#This Row],[Total_retenues]])</f>
        <v>277987.31333333335</v>
      </c>
      <c r="AG2">
        <f>net_a_payer(Tableau1[[#This Row],[salaire_net]],Tableau1[[#This Row],[Indemnité]])</f>
        <v>295487.31333333335</v>
      </c>
      <c r="AJ2" s="3">
        <f>age(Tableau1[[#This Row],[Date Nais]])</f>
        <v>59</v>
      </c>
    </row>
    <row r="3" spans="1:36" x14ac:dyDescent="0.25">
      <c r="A3">
        <v>2</v>
      </c>
      <c r="B3" t="s">
        <v>49</v>
      </c>
      <c r="C3" t="s">
        <v>50</v>
      </c>
      <c r="D3" t="s">
        <v>51</v>
      </c>
      <c r="E3" s="2" t="s">
        <v>52</v>
      </c>
      <c r="F3" t="s">
        <v>53</v>
      </c>
      <c r="G3" t="s">
        <v>32</v>
      </c>
      <c r="H3" t="s">
        <v>33</v>
      </c>
      <c r="I3" t="s">
        <v>54</v>
      </c>
      <c r="J3">
        <v>0</v>
      </c>
      <c r="K3">
        <v>0</v>
      </c>
      <c r="L3">
        <v>160</v>
      </c>
      <c r="M3">
        <v>6</v>
      </c>
      <c r="N3">
        <v>10</v>
      </c>
      <c r="O3">
        <v>0</v>
      </c>
      <c r="P3">
        <v>6</v>
      </c>
      <c r="Q3">
        <v>7500</v>
      </c>
      <c r="R3">
        <v>0</v>
      </c>
      <c r="S3">
        <v>10000</v>
      </c>
      <c r="T3">
        <v>0</v>
      </c>
      <c r="U3">
        <v>0</v>
      </c>
      <c r="V3">
        <v>0</v>
      </c>
      <c r="W3">
        <f>salaire_de_base(Tableau1[[#This Row],[Nb_hr_pointee]],Tableau1[[#This Row],[Catégorie]])</f>
        <v>323200</v>
      </c>
      <c r="X3">
        <f>heures_supplémentaires(Tableau1[[#This Row],[Catégorie]],Tableau1[[#This Row],[H_Supp_15]],Tableau1[[#This Row],[H_Supp_40]],Tableau1[[#This Row],[H_Supp_60]],Tableau1[[#This Row],[H_Supp_100]])</f>
        <v>66458</v>
      </c>
      <c r="Y3">
        <f>salaire_brut_social(Tableau1[[#This Row],[Prime]],Tableau1[[#This Row],[salaire_de_base]],Tableau1[[#This Row],[heures_supplémentaires]])</f>
        <v>397158</v>
      </c>
      <c r="Z3">
        <f>salaire_brut_fiscal(Tableau1[[#This Row],[Avantage]],Tableau1[[#This Row],[salaire_brut_social]])</f>
        <v>397158</v>
      </c>
      <c r="AA3">
        <f>regime_general(Tableau1[[#This Row],[salaire_brut_social]])</f>
        <v>20160</v>
      </c>
      <c r="AB3">
        <f>regime_cadre(Tableau1[[#This Row],[salaire_brut_social]])</f>
        <v>9531.7919999999995</v>
      </c>
      <c r="AC3">
        <f>TRIMF(Tableau1[[#This Row],[Etat_Civil]],Tableau1[[#This Row],[Nb_epouse]],Tableau1[[#This Row],[salaire_brut_fiscal]],Tableau1[[#This Row],[Sexe]])</f>
        <v>0</v>
      </c>
      <c r="AD3">
        <f>IR(Tableau1[[#This Row],[Etat_Civil]],Tableau1[[#This Row],[Nb_enfant]],Tableau1[[#This Row],[Nb_enfant]]+Tableau1[[#This Row],[salaire_brut_fiscal]])</f>
        <v>73647.399999999994</v>
      </c>
      <c r="AE3">
        <f>total_retenues(Tableau1[[#This Row],[Regime_general]],Tableau1[[#This Row],[Regime_cadre]],Tableau1[[#This Row],[IPM]],Tableau1[[#This Row],[TRIMF]],Tableau1[[#This Row],[IR]],Tableau1[[#This Row],[Avance_Ac]],Tableau1[[#This Row],[Opposition]])</f>
        <v>103339.192</v>
      </c>
      <c r="AF3">
        <f>salaire_net(Tableau1[[#This Row],[salaire_brut_social]],Tableau1[[#This Row],[Total_retenues]])</f>
        <v>293818.80800000002</v>
      </c>
      <c r="AG3">
        <f>net_a_payer(Tableau1[[#This Row],[salaire_net]],Tableau1[[#This Row],[Indemnité]])</f>
        <v>303818.80800000002</v>
      </c>
      <c r="AJ3" s="3">
        <f>age(Tableau1[[#This Row],[Date Nais]])</f>
        <v>46</v>
      </c>
    </row>
    <row r="4" spans="1:36" x14ac:dyDescent="0.25">
      <c r="A4">
        <v>3</v>
      </c>
      <c r="B4" t="s">
        <v>55</v>
      </c>
      <c r="C4" t="s">
        <v>56</v>
      </c>
      <c r="D4" t="s">
        <v>57</v>
      </c>
      <c r="E4" t="s">
        <v>58</v>
      </c>
      <c r="F4" t="s">
        <v>59</v>
      </c>
      <c r="G4" t="s">
        <v>32</v>
      </c>
      <c r="H4" t="s">
        <v>33</v>
      </c>
      <c r="I4" t="s">
        <v>48</v>
      </c>
      <c r="J4">
        <v>2</v>
      </c>
      <c r="K4">
        <v>6</v>
      </c>
      <c r="L4">
        <v>160</v>
      </c>
      <c r="M4">
        <v>0</v>
      </c>
      <c r="N4">
        <v>0</v>
      </c>
      <c r="O4">
        <v>6</v>
      </c>
      <c r="P4">
        <v>0</v>
      </c>
      <c r="Q4">
        <v>0</v>
      </c>
      <c r="R4">
        <v>0</v>
      </c>
      <c r="S4">
        <v>15000</v>
      </c>
      <c r="T4">
        <v>3000</v>
      </c>
      <c r="U4">
        <v>0</v>
      </c>
      <c r="V4">
        <v>0</v>
      </c>
      <c r="W4">
        <f>salaire_de_base(Tableau1[[#This Row],[Nb_hr_pointee]],Tableau1[[#This Row],[Catégorie]])</f>
        <v>323200</v>
      </c>
      <c r="X4">
        <f>heures_supplémentaires(Tableau1[[#This Row],[Catégorie]],Tableau1[[#This Row],[H_Supp_15]],Tableau1[[#This Row],[H_Supp_40]],Tableau1[[#This Row],[H_Supp_60]],Tableau1[[#This Row],[H_Supp_100]])</f>
        <v>19392</v>
      </c>
      <c r="Y4">
        <f>salaire_brut_social(Tableau1[[#This Row],[Prime]],Tableau1[[#This Row],[salaire_de_base]],Tableau1[[#This Row],[heures_supplémentaires]])</f>
        <v>342592</v>
      </c>
      <c r="Z4">
        <f>salaire_brut_fiscal(Tableau1[[#This Row],[Avantage]],Tableau1[[#This Row],[salaire_brut_social]])</f>
        <v>342592</v>
      </c>
      <c r="AA4">
        <f>regime_general(Tableau1[[#This Row],[salaire_brut_social]])</f>
        <v>19185.152000000002</v>
      </c>
      <c r="AB4">
        <f>regime_cadre(Tableau1[[#This Row],[salaire_brut_social]])</f>
        <v>0</v>
      </c>
      <c r="AC4">
        <f>TRIMF(Tableau1[[#This Row],[Etat_Civil]],Tableau1[[#This Row],[Nb_epouse]],Tableau1[[#This Row],[salaire_brut_fiscal]],Tableau1[[#This Row],[Sexe]])</f>
        <v>2700</v>
      </c>
      <c r="AD4">
        <f>IR(Tableau1[[#This Row],[Etat_Civil]],Tableau1[[#This Row],[Nb_enfant]],Tableau1[[#This Row],[Nb_enfant]]+Tableau1[[#This Row],[salaire_brut_fiscal]])</f>
        <v>0</v>
      </c>
      <c r="AE4">
        <f>total_retenues(Tableau1[[#This Row],[Regime_general]],Tableau1[[#This Row],[Regime_cadre]],Tableau1[[#This Row],[IPM]],Tableau1[[#This Row],[TRIMF]],Tableau1[[#This Row],[IR]],Tableau1[[#This Row],[Avance_Ac]],Tableau1[[#This Row],[Opposition]])</f>
        <v>24885.152000000002</v>
      </c>
      <c r="AF4">
        <f>salaire_net(Tableau1[[#This Row],[salaire_brut_social]],Tableau1[[#This Row],[Total_retenues]])</f>
        <v>317706.848</v>
      </c>
      <c r="AG4">
        <f>net_a_payer(Tableau1[[#This Row],[salaire_net]],Tableau1[[#This Row],[Indemnité]])</f>
        <v>332706.848</v>
      </c>
      <c r="AJ4" s="3">
        <f>age(Tableau1[[#This Row],[Date Nais]])</f>
        <v>52</v>
      </c>
    </row>
    <row r="5" spans="1:36" x14ac:dyDescent="0.25">
      <c r="A5">
        <v>4</v>
      </c>
      <c r="B5" t="s">
        <v>60</v>
      </c>
      <c r="C5" t="s">
        <v>61</v>
      </c>
      <c r="D5" t="s">
        <v>62</v>
      </c>
      <c r="E5" t="s">
        <v>63</v>
      </c>
      <c r="F5" t="s">
        <v>64</v>
      </c>
      <c r="G5" t="s">
        <v>32</v>
      </c>
      <c r="H5" t="s">
        <v>35</v>
      </c>
      <c r="I5" t="s">
        <v>48</v>
      </c>
      <c r="J5">
        <v>1</v>
      </c>
      <c r="K5">
        <v>1</v>
      </c>
      <c r="L5">
        <v>155</v>
      </c>
      <c r="M5">
        <v>10</v>
      </c>
      <c r="N5">
        <v>14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f>salaire_de_base(Tableau1[[#This Row],[Nb_hr_pointee]],Tableau1[[#This Row],[Catégorie]])</f>
        <v>214675</v>
      </c>
      <c r="X5">
        <f>heures_supplémentaires(Tableau1[[#This Row],[Catégorie]],Tableau1[[#This Row],[H_Supp_15]],Tableau1[[#This Row],[H_Supp_40]],Tableau1[[#This Row],[H_Supp_60]],Tableau1[[#This Row],[H_Supp_100]])</f>
        <v>43073.5</v>
      </c>
      <c r="Y5">
        <f>salaire_brut_social(Tableau1[[#This Row],[Prime]],Tableau1[[#This Row],[salaire_de_base]],Tableau1[[#This Row],[heures_supplémentaires]])</f>
        <v>257748.5</v>
      </c>
      <c r="Z5">
        <f>salaire_brut_fiscal(Tableau1[[#This Row],[Avantage]],Tableau1[[#This Row],[salaire_brut_social]])</f>
        <v>257748.5</v>
      </c>
      <c r="AA5">
        <f>regime_general(Tableau1[[#This Row],[salaire_brut_social]])</f>
        <v>14433.916000000001</v>
      </c>
      <c r="AB5">
        <f>regime_cadre(Tableau1[[#This Row],[salaire_brut_social]])</f>
        <v>0</v>
      </c>
      <c r="AC5">
        <f>TRIMF(Tableau1[[#This Row],[Etat_Civil]],Tableau1[[#This Row],[Nb_epouse]],Tableau1[[#This Row],[salaire_brut_fiscal]],Tableau1[[#This Row],[Sexe]])</f>
        <v>1800</v>
      </c>
      <c r="AD5">
        <f>IR(Tableau1[[#This Row],[Etat_Civil]],Tableau1[[#This Row],[Nb_enfant]],Tableau1[[#This Row],[Nb_enfant]]+Tableau1[[#This Row],[salaire_brut_fiscal]])</f>
        <v>15158.333333333334</v>
      </c>
      <c r="AE5">
        <f>total_retenues(Tableau1[[#This Row],[Regime_general]],Tableau1[[#This Row],[Regime_cadre]],Tableau1[[#This Row],[IPM]],Tableau1[[#This Row],[TRIMF]],Tableau1[[#This Row],[IR]],Tableau1[[#This Row],[Avance_Ac]],Tableau1[[#This Row],[Opposition]])</f>
        <v>31392.249333333333</v>
      </c>
      <c r="AF5">
        <f>salaire_net(Tableau1[[#This Row],[salaire_brut_social]],Tableau1[[#This Row],[Total_retenues]])</f>
        <v>226356.25066666666</v>
      </c>
      <c r="AG5">
        <f>net_a_payer(Tableau1[[#This Row],[salaire_net]],Tableau1[[#This Row],[Indemnité]])</f>
        <v>226356.25066666666</v>
      </c>
      <c r="AJ5" s="3">
        <f>age(Tableau1[[#This Row],[Date Nais]])</f>
        <v>59</v>
      </c>
    </row>
    <row r="6" spans="1:36" x14ac:dyDescent="0.25">
      <c r="A6">
        <v>5</v>
      </c>
      <c r="B6" t="s">
        <v>65</v>
      </c>
      <c r="C6" t="s">
        <v>66</v>
      </c>
      <c r="D6" t="s">
        <v>67</v>
      </c>
      <c r="E6" s="2">
        <v>22869</v>
      </c>
      <c r="F6" t="s">
        <v>68</v>
      </c>
      <c r="G6" t="s">
        <v>32</v>
      </c>
      <c r="H6" t="s">
        <v>35</v>
      </c>
      <c r="I6" t="s">
        <v>54</v>
      </c>
      <c r="J6">
        <v>0</v>
      </c>
      <c r="K6">
        <v>2</v>
      </c>
      <c r="L6">
        <v>160</v>
      </c>
      <c r="M6">
        <v>6</v>
      </c>
      <c r="N6">
        <v>0</v>
      </c>
      <c r="O6">
        <v>4</v>
      </c>
      <c r="P6">
        <v>7</v>
      </c>
      <c r="Q6">
        <v>0</v>
      </c>
      <c r="R6">
        <v>15000</v>
      </c>
      <c r="S6">
        <v>0</v>
      </c>
      <c r="T6">
        <v>3000</v>
      </c>
      <c r="U6">
        <v>15000</v>
      </c>
      <c r="V6">
        <v>20000</v>
      </c>
      <c r="W6">
        <f>salaire_de_base(Tableau1[[#This Row],[Nb_hr_pointee]],Tableau1[[#This Row],[Catégorie]])</f>
        <v>221600</v>
      </c>
      <c r="X6">
        <f>heures_supplémentaires(Tableau1[[#This Row],[Catégorie]],Tableau1[[#This Row],[H_Supp_15]],Tableau1[[#This Row],[H_Supp_40]],Tableau1[[#This Row],[H_Supp_60]],Tableau1[[#This Row],[H_Supp_100]])</f>
        <v>37810.5</v>
      </c>
      <c r="Y6">
        <f>salaire_brut_social(Tableau1[[#This Row],[Prime]],Tableau1[[#This Row],[salaire_de_base]],Tableau1[[#This Row],[heures_supplémentaires]])</f>
        <v>259410.5</v>
      </c>
      <c r="Z6">
        <f>salaire_brut_fiscal(Tableau1[[#This Row],[Avantage]],Tableau1[[#This Row],[salaire_brut_social]])</f>
        <v>274410.5</v>
      </c>
      <c r="AA6">
        <f>regime_general(Tableau1[[#This Row],[salaire_brut_social]])</f>
        <v>14526.988000000001</v>
      </c>
      <c r="AB6">
        <f>regime_cadre(Tableau1[[#This Row],[salaire_brut_social]])</f>
        <v>0</v>
      </c>
      <c r="AC6">
        <f>TRIMF(Tableau1[[#This Row],[Etat_Civil]],Tableau1[[#This Row],[Nb_epouse]],Tableau1[[#This Row],[salaire_brut_fiscal]],Tableau1[[#This Row],[Sexe]])</f>
        <v>0</v>
      </c>
      <c r="AD6">
        <f>IR(Tableau1[[#This Row],[Etat_Civil]],Tableau1[[#This Row],[Nb_enfant]],Tableau1[[#This Row],[Nb_enfant]]+Tableau1[[#This Row],[salaire_brut_fiscal]])</f>
        <v>36823.599999999999</v>
      </c>
      <c r="AE6">
        <f>total_retenues(Tableau1[[#This Row],[Regime_general]],Tableau1[[#This Row],[Regime_cadre]],Tableau1[[#This Row],[IPM]],Tableau1[[#This Row],[TRIMF]],Tableau1[[#This Row],[IR]],Tableau1[[#This Row],[Avance_Ac]],Tableau1[[#This Row],[Opposition]])</f>
        <v>89350.588000000003</v>
      </c>
      <c r="AF6">
        <f>salaire_net(Tableau1[[#This Row],[salaire_brut_social]],Tableau1[[#This Row],[Total_retenues]])</f>
        <v>170059.91200000001</v>
      </c>
      <c r="AG6">
        <f>net_a_payer(Tableau1[[#This Row],[salaire_net]],Tableau1[[#This Row],[Indemnité]])</f>
        <v>170059.91200000001</v>
      </c>
      <c r="AJ6" s="3">
        <f>age(Tableau1[[#This Row],[Date Nais]])</f>
        <v>58</v>
      </c>
    </row>
    <row r="7" spans="1:36" x14ac:dyDescent="0.25">
      <c r="A7">
        <v>6</v>
      </c>
      <c r="B7" t="s">
        <v>69</v>
      </c>
      <c r="C7" t="s">
        <v>70</v>
      </c>
      <c r="D7" t="s">
        <v>71</v>
      </c>
      <c r="E7" s="2">
        <v>24447</v>
      </c>
      <c r="F7" t="s">
        <v>72</v>
      </c>
      <c r="G7" t="s">
        <v>32</v>
      </c>
      <c r="H7" t="s">
        <v>35</v>
      </c>
      <c r="I7" t="s">
        <v>54</v>
      </c>
      <c r="J7">
        <v>0</v>
      </c>
      <c r="K7">
        <v>0</v>
      </c>
      <c r="L7">
        <v>145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2500</v>
      </c>
      <c r="U7">
        <v>0</v>
      </c>
      <c r="V7">
        <v>0</v>
      </c>
      <c r="W7">
        <f>salaire_de_base(Tableau1[[#This Row],[Nb_hr_pointee]],Tableau1[[#This Row],[Catégorie]])</f>
        <v>200825</v>
      </c>
      <c r="X7">
        <f>heures_supplémentaires(Tableau1[[#This Row],[Catégorie]],Tableau1[[#This Row],[H_Supp_15]],Tableau1[[#This Row],[H_Supp_40]],Tableau1[[#This Row],[H_Supp_60]],Tableau1[[#This Row],[H_Supp_100]])</f>
        <v>0</v>
      </c>
      <c r="Y7">
        <f>salaire_brut_social(Tableau1[[#This Row],[Prime]],Tableau1[[#This Row],[salaire_de_base]],Tableau1[[#This Row],[heures_supplémentaires]])</f>
        <v>200825</v>
      </c>
      <c r="Z7">
        <f>salaire_brut_fiscal(Tableau1[[#This Row],[Avantage]],Tableau1[[#This Row],[salaire_brut_social]])</f>
        <v>200825</v>
      </c>
      <c r="AA7">
        <f>regime_general(Tableau1[[#This Row],[salaire_brut_social]])</f>
        <v>11246.2</v>
      </c>
      <c r="AB7">
        <f>regime_cadre(Tableau1[[#This Row],[salaire_brut_social]])</f>
        <v>0</v>
      </c>
      <c r="AC7">
        <f>TRIMF(Tableau1[[#This Row],[Etat_Civil]],Tableau1[[#This Row],[Nb_epouse]],Tableau1[[#This Row],[salaire_brut_fiscal]],Tableau1[[#This Row],[Sexe]])</f>
        <v>0</v>
      </c>
      <c r="AD7">
        <f>IR(Tableau1[[#This Row],[Etat_Civil]],Tableau1[[#This Row],[Nb_enfant]],Tableau1[[#This Row],[Nb_enfant]]+Tableau1[[#This Row],[salaire_brut_fiscal]])</f>
        <v>19173.25</v>
      </c>
      <c r="AE7">
        <f>total_retenues(Tableau1[[#This Row],[Regime_general]],Tableau1[[#This Row],[Regime_cadre]],Tableau1[[#This Row],[IPM]],Tableau1[[#This Row],[TRIMF]],Tableau1[[#This Row],[IR]],Tableau1[[#This Row],[Avance_Ac]],Tableau1[[#This Row],[Opposition]])</f>
        <v>32919.449999999997</v>
      </c>
      <c r="AF7">
        <f>salaire_net(Tableau1[[#This Row],[salaire_brut_social]],Tableau1[[#This Row],[Total_retenues]])</f>
        <v>167905.55</v>
      </c>
      <c r="AG7">
        <f>net_a_payer(Tableau1[[#This Row],[salaire_net]],Tableau1[[#This Row],[Indemnité]])</f>
        <v>167905.55</v>
      </c>
      <c r="AJ7" s="3">
        <f>age(Tableau1[[#This Row],[Date Nais]])</f>
        <v>53</v>
      </c>
    </row>
    <row r="8" spans="1:36" x14ac:dyDescent="0.25">
      <c r="A8">
        <v>7</v>
      </c>
      <c r="B8" t="s">
        <v>245</v>
      </c>
      <c r="C8" t="s">
        <v>73</v>
      </c>
      <c r="D8" t="s">
        <v>74</v>
      </c>
      <c r="E8" s="2">
        <v>23841</v>
      </c>
      <c r="F8" t="s">
        <v>75</v>
      </c>
      <c r="G8" t="s">
        <v>34</v>
      </c>
      <c r="H8" t="s">
        <v>33</v>
      </c>
      <c r="I8" t="s">
        <v>48</v>
      </c>
      <c r="J8">
        <v>0</v>
      </c>
      <c r="K8">
        <v>4</v>
      </c>
      <c r="L8">
        <v>160</v>
      </c>
      <c r="M8">
        <v>8</v>
      </c>
      <c r="N8">
        <v>14</v>
      </c>
      <c r="O8">
        <v>0</v>
      </c>
      <c r="P8">
        <v>7</v>
      </c>
      <c r="Q8">
        <v>10000</v>
      </c>
      <c r="R8">
        <v>0</v>
      </c>
      <c r="S8">
        <v>0</v>
      </c>
      <c r="T8">
        <v>0</v>
      </c>
      <c r="U8">
        <v>0</v>
      </c>
      <c r="V8">
        <v>0</v>
      </c>
      <c r="W8">
        <f>salaire_de_base(Tableau1[[#This Row],[Nb_hr_pointee]],Tableau1[[#This Row],[Catégorie]])</f>
        <v>323200</v>
      </c>
      <c r="X8">
        <f>heures_supplémentaires(Tableau1[[#This Row],[Catégorie]],Tableau1[[#This Row],[H_Supp_15]],Tableau1[[#This Row],[H_Supp_40]],Tableau1[[#This Row],[H_Supp_60]],Tableau1[[#This Row],[H_Supp_100]])</f>
        <v>86456</v>
      </c>
      <c r="Y8">
        <f>salaire_brut_social(Tableau1[[#This Row],[Prime]],Tableau1[[#This Row],[salaire_de_base]],Tableau1[[#This Row],[heures_supplémentaires]])</f>
        <v>419656</v>
      </c>
      <c r="Z8">
        <f>salaire_brut_fiscal(Tableau1[[#This Row],[Avantage]],Tableau1[[#This Row],[salaire_brut_social]])</f>
        <v>419656</v>
      </c>
      <c r="AA8">
        <f>regime_general(Tableau1[[#This Row],[salaire_brut_social]])</f>
        <v>20160</v>
      </c>
      <c r="AB8">
        <f>regime_cadre(Tableau1[[#This Row],[salaire_brut_social]])</f>
        <v>10071.744000000001</v>
      </c>
      <c r="AC8">
        <f>TRIMF(Tableau1[[#This Row],[Etat_Civil]],Tableau1[[#This Row],[Nb_epouse]],Tableau1[[#This Row],[salaire_brut_fiscal]],Tableau1[[#This Row],[Sexe]])</f>
        <v>900</v>
      </c>
      <c r="AD8">
        <f>IR(Tableau1[[#This Row],[Etat_Civil]],Tableau1[[#This Row],[Nb_enfant]],Tableau1[[#This Row],[Nb_enfant]]+Tableau1[[#This Row],[salaire_brut_fiscal]])</f>
        <v>39297.666666666664</v>
      </c>
      <c r="AE8">
        <f>total_retenues(Tableau1[[#This Row],[Regime_general]],Tableau1[[#This Row],[Regime_cadre]],Tableau1[[#This Row],[IPM]],Tableau1[[#This Row],[TRIMF]],Tableau1[[#This Row],[IR]],Tableau1[[#This Row],[Avance_Ac]],Tableau1[[#This Row],[Opposition]])</f>
        <v>70429.410666666663</v>
      </c>
      <c r="AF8">
        <f>salaire_net(Tableau1[[#This Row],[salaire_brut_social]],Tableau1[[#This Row],[Total_retenues]])</f>
        <v>349226.58933333331</v>
      </c>
      <c r="AG8">
        <f>net_a_payer(Tableau1[[#This Row],[salaire_net]],Tableau1[[#This Row],[Indemnité]])</f>
        <v>349226.58933333331</v>
      </c>
      <c r="AJ8" s="3">
        <f>age(Tableau1[[#This Row],[Date Nais]])</f>
        <v>55</v>
      </c>
    </row>
    <row r="9" spans="1:36" x14ac:dyDescent="0.25">
      <c r="A9">
        <v>8</v>
      </c>
      <c r="B9" t="s">
        <v>246</v>
      </c>
      <c r="C9" t="s">
        <v>76</v>
      </c>
      <c r="D9" t="s">
        <v>77</v>
      </c>
      <c r="E9" s="2" t="s">
        <v>78</v>
      </c>
      <c r="F9" t="s">
        <v>47</v>
      </c>
      <c r="G9" t="s">
        <v>34</v>
      </c>
      <c r="H9" t="s">
        <v>35</v>
      </c>
      <c r="I9" t="s">
        <v>54</v>
      </c>
      <c r="J9">
        <v>0</v>
      </c>
      <c r="K9">
        <v>0</v>
      </c>
      <c r="L9">
        <v>160</v>
      </c>
      <c r="M9">
        <v>0</v>
      </c>
      <c r="N9">
        <v>10</v>
      </c>
      <c r="O9">
        <v>0</v>
      </c>
      <c r="P9">
        <v>8</v>
      </c>
      <c r="Q9">
        <v>5000</v>
      </c>
      <c r="R9">
        <v>15000</v>
      </c>
      <c r="S9">
        <v>0</v>
      </c>
      <c r="T9">
        <v>3000</v>
      </c>
      <c r="U9">
        <v>0</v>
      </c>
      <c r="V9">
        <v>0</v>
      </c>
      <c r="W9">
        <f>salaire_de_base(Tableau1[[#This Row],[Nb_hr_pointee]],Tableau1[[#This Row],[Catégorie]])</f>
        <v>221600</v>
      </c>
      <c r="X9">
        <f>heures_supplémentaires(Tableau1[[#This Row],[Catégorie]],Tableau1[[#This Row],[H_Supp_15]],Tableau1[[#This Row],[H_Supp_40]],Tableau1[[#This Row],[H_Supp_60]],Tableau1[[#This Row],[H_Supp_100]])</f>
        <v>41550</v>
      </c>
      <c r="Y9">
        <f>salaire_brut_social(Tableau1[[#This Row],[Prime]],Tableau1[[#This Row],[salaire_de_base]],Tableau1[[#This Row],[heures_supplémentaires]])</f>
        <v>268150</v>
      </c>
      <c r="Z9">
        <f>salaire_brut_fiscal(Tableau1[[#This Row],[Avantage]],Tableau1[[#This Row],[salaire_brut_social]])</f>
        <v>283150</v>
      </c>
      <c r="AA9">
        <f>regime_general(Tableau1[[#This Row],[salaire_brut_social]])</f>
        <v>15016.4</v>
      </c>
      <c r="AB9">
        <f>regime_cadre(Tableau1[[#This Row],[salaire_brut_social]])</f>
        <v>0</v>
      </c>
      <c r="AC9">
        <f>TRIMF(Tableau1[[#This Row],[Etat_Civil]],Tableau1[[#This Row],[Nb_epouse]],Tableau1[[#This Row],[salaire_brut_fiscal]],Tableau1[[#This Row],[Sexe]])</f>
        <v>0</v>
      </c>
      <c r="AD9">
        <f>IR(Tableau1[[#This Row],[Etat_Civil]],Tableau1[[#This Row],[Nb_enfant]],Tableau1[[#This Row],[Nb_enfant]]+Tableau1[[#This Row],[salaire_brut_fiscal]])</f>
        <v>39445</v>
      </c>
      <c r="AE9">
        <f>total_retenues(Tableau1[[#This Row],[Regime_general]],Tableau1[[#This Row],[Regime_cadre]],Tableau1[[#This Row],[IPM]],Tableau1[[#This Row],[TRIMF]],Tableau1[[#This Row],[IR]],Tableau1[[#This Row],[Avance_Ac]],Tableau1[[#This Row],[Opposition]])</f>
        <v>57461.4</v>
      </c>
      <c r="AF9">
        <f>salaire_net(Tableau1[[#This Row],[salaire_brut_social]],Tableau1[[#This Row],[Total_retenues]])</f>
        <v>210688.6</v>
      </c>
      <c r="AG9">
        <f>net_a_payer(Tableau1[[#This Row],[salaire_net]],Tableau1[[#This Row],[Indemnité]])</f>
        <v>210688.6</v>
      </c>
      <c r="AJ9" s="3">
        <f>age(Tableau1[[#This Row],[Date Nais]])</f>
        <v>45</v>
      </c>
    </row>
    <row r="10" spans="1:36" x14ac:dyDescent="0.25">
      <c r="A10">
        <v>9</v>
      </c>
      <c r="B10" t="s">
        <v>247</v>
      </c>
      <c r="C10" t="s">
        <v>79</v>
      </c>
      <c r="D10" t="s">
        <v>77</v>
      </c>
      <c r="E10" s="2" t="s">
        <v>80</v>
      </c>
      <c r="F10" t="s">
        <v>75</v>
      </c>
      <c r="G10" t="s">
        <v>32</v>
      </c>
      <c r="H10" t="s">
        <v>33</v>
      </c>
      <c r="I10" t="s">
        <v>48</v>
      </c>
      <c r="J10">
        <v>3</v>
      </c>
      <c r="K10">
        <v>8</v>
      </c>
      <c r="L10">
        <v>160</v>
      </c>
      <c r="M10">
        <v>9</v>
      </c>
      <c r="N10">
        <v>16</v>
      </c>
      <c r="O10">
        <v>0</v>
      </c>
      <c r="P10">
        <v>0</v>
      </c>
      <c r="Q10">
        <v>7500</v>
      </c>
      <c r="R10">
        <v>0</v>
      </c>
      <c r="S10">
        <v>0</v>
      </c>
      <c r="T10">
        <v>3000</v>
      </c>
      <c r="U10">
        <v>0</v>
      </c>
      <c r="V10">
        <v>0</v>
      </c>
      <c r="W10">
        <f>salaire_de_base(Tableau1[[#This Row],[Nb_hr_pointee]],Tableau1[[#This Row],[Catégorie]])</f>
        <v>323200</v>
      </c>
      <c r="X10">
        <f>heures_supplémentaires(Tableau1[[#This Row],[Catégorie]],Tableau1[[#This Row],[H_Supp_15]],Tableau1[[#This Row],[H_Supp_40]],Tableau1[[#This Row],[H_Supp_60]],Tableau1[[#This Row],[H_Supp_100]])</f>
        <v>66155</v>
      </c>
      <c r="Y10">
        <f>salaire_brut_social(Tableau1[[#This Row],[Prime]],Tableau1[[#This Row],[salaire_de_base]],Tableau1[[#This Row],[heures_supplémentaires]])</f>
        <v>396855</v>
      </c>
      <c r="Z10">
        <f>salaire_brut_fiscal(Tableau1[[#This Row],[Avantage]],Tableau1[[#This Row],[salaire_brut_social]])</f>
        <v>396855</v>
      </c>
      <c r="AA10">
        <f>regime_general(Tableau1[[#This Row],[salaire_brut_social]])</f>
        <v>20160</v>
      </c>
      <c r="AB10">
        <f>regime_cadre(Tableau1[[#This Row],[salaire_brut_social]])</f>
        <v>9524.52</v>
      </c>
      <c r="AC10">
        <f>TRIMF(Tableau1[[#This Row],[Etat_Civil]],Tableau1[[#This Row],[Nb_epouse]],Tableau1[[#This Row],[salaire_brut_fiscal]],Tableau1[[#This Row],[Sexe]])</f>
        <v>3600</v>
      </c>
      <c r="AD10">
        <f>IR(Tableau1[[#This Row],[Etat_Civil]],Tableau1[[#This Row],[Nb_enfant]],Tableau1[[#This Row],[Nb_enfant]]+Tableau1[[#This Row],[salaire_brut_fiscal]])</f>
        <v>73558.899999999994</v>
      </c>
      <c r="AE10">
        <f>total_retenues(Tableau1[[#This Row],[Regime_general]],Tableau1[[#This Row],[Regime_cadre]],Tableau1[[#This Row],[IPM]],Tableau1[[#This Row],[TRIMF]],Tableau1[[#This Row],[IR]],Tableau1[[#This Row],[Avance_Ac]],Tableau1[[#This Row],[Opposition]])</f>
        <v>109843.42</v>
      </c>
      <c r="AF10">
        <f>salaire_net(Tableau1[[#This Row],[salaire_brut_social]],Tableau1[[#This Row],[Total_retenues]])</f>
        <v>287011.58</v>
      </c>
      <c r="AG10">
        <f>net_a_payer(Tableau1[[#This Row],[salaire_net]],Tableau1[[#This Row],[Indemnité]])</f>
        <v>287011.58</v>
      </c>
      <c r="AJ10" s="3">
        <f>age(Tableau1[[#This Row],[Date Nais]])</f>
        <v>49</v>
      </c>
    </row>
    <row r="11" spans="1:36" x14ac:dyDescent="0.25">
      <c r="A11">
        <v>10</v>
      </c>
      <c r="B11" t="s">
        <v>248</v>
      </c>
      <c r="C11" t="s">
        <v>81</v>
      </c>
      <c r="D11" t="s">
        <v>82</v>
      </c>
      <c r="E11" s="2">
        <v>23600</v>
      </c>
      <c r="F11" t="s">
        <v>83</v>
      </c>
      <c r="G11" t="s">
        <v>32</v>
      </c>
      <c r="H11" t="s">
        <v>35</v>
      </c>
      <c r="I11" t="s">
        <v>54</v>
      </c>
      <c r="J11">
        <v>0</v>
      </c>
      <c r="K11">
        <v>0</v>
      </c>
      <c r="L11">
        <v>160</v>
      </c>
      <c r="M11">
        <v>0</v>
      </c>
      <c r="N11">
        <v>15</v>
      </c>
      <c r="O11">
        <v>3</v>
      </c>
      <c r="P11">
        <v>0</v>
      </c>
      <c r="Q11">
        <v>0</v>
      </c>
      <c r="R11">
        <v>15000</v>
      </c>
      <c r="S11">
        <v>0</v>
      </c>
      <c r="T11">
        <v>0</v>
      </c>
      <c r="U11">
        <v>0</v>
      </c>
      <c r="V11">
        <v>0</v>
      </c>
      <c r="W11">
        <f>salaire_de_base(Tableau1[[#This Row],[Nb_hr_pointee]],Tableau1[[#This Row],[Catégorie]])</f>
        <v>221600</v>
      </c>
      <c r="X11">
        <f>heures_supplémentaires(Tableau1[[#This Row],[Catégorie]],Tableau1[[#This Row],[H_Supp_15]],Tableau1[[#This Row],[H_Supp_40]],Tableau1[[#This Row],[H_Supp_60]],Tableau1[[#This Row],[H_Supp_100]])</f>
        <v>35733</v>
      </c>
      <c r="Y11">
        <f>salaire_brut_social(Tableau1[[#This Row],[Prime]],Tableau1[[#This Row],[salaire_de_base]],Tableau1[[#This Row],[heures_supplémentaires]])</f>
        <v>257333</v>
      </c>
      <c r="Z11">
        <f>salaire_brut_fiscal(Tableau1[[#This Row],[Avantage]],Tableau1[[#This Row],[salaire_brut_social]])</f>
        <v>272333</v>
      </c>
      <c r="AA11">
        <f>regime_general(Tableau1[[#This Row],[salaire_brut_social]])</f>
        <v>14410.648000000001</v>
      </c>
      <c r="AB11">
        <f>regime_cadre(Tableau1[[#This Row],[salaire_brut_social]])</f>
        <v>0</v>
      </c>
      <c r="AC11">
        <f>TRIMF(Tableau1[[#This Row],[Etat_Civil]],Tableau1[[#This Row],[Nb_epouse]],Tableau1[[#This Row],[salaire_brut_fiscal]],Tableau1[[#This Row],[Sexe]])</f>
        <v>0</v>
      </c>
      <c r="AD11">
        <f>IR(Tableau1[[#This Row],[Etat_Civil]],Tableau1[[#This Row],[Nb_enfant]],Tableau1[[#This Row],[Nb_enfant]]+Tableau1[[#This Row],[salaire_brut_fiscal]])</f>
        <v>36199.9</v>
      </c>
      <c r="AE11">
        <f>total_retenues(Tableau1[[#This Row],[Regime_general]],Tableau1[[#This Row],[Regime_cadre]],Tableau1[[#This Row],[IPM]],Tableau1[[#This Row],[TRIMF]],Tableau1[[#This Row],[IR]],Tableau1[[#This Row],[Avance_Ac]],Tableau1[[#This Row],[Opposition]])</f>
        <v>50610.548000000003</v>
      </c>
      <c r="AF11">
        <f>salaire_net(Tableau1[[#This Row],[salaire_brut_social]],Tableau1[[#This Row],[Total_retenues]])</f>
        <v>206722.45199999999</v>
      </c>
      <c r="AG11">
        <f>net_a_payer(Tableau1[[#This Row],[salaire_net]],Tableau1[[#This Row],[Indemnité]])</f>
        <v>206722.45199999999</v>
      </c>
      <c r="AJ11" s="3">
        <f>age(Tableau1[[#This Row],[Date Nais]])</f>
        <v>56</v>
      </c>
    </row>
    <row r="12" spans="1:36" x14ac:dyDescent="0.25">
      <c r="A12">
        <v>11</v>
      </c>
      <c r="B12" t="s">
        <v>85</v>
      </c>
      <c r="C12" t="s">
        <v>86</v>
      </c>
      <c r="D12" t="s">
        <v>87</v>
      </c>
      <c r="E12" s="2">
        <v>23140</v>
      </c>
      <c r="F12" t="s">
        <v>88</v>
      </c>
      <c r="G12" t="s">
        <v>34</v>
      </c>
      <c r="H12" t="s">
        <v>33</v>
      </c>
      <c r="I12" t="s">
        <v>54</v>
      </c>
      <c r="J12">
        <v>0</v>
      </c>
      <c r="K12">
        <v>0</v>
      </c>
      <c r="L12">
        <v>160</v>
      </c>
      <c r="M12">
        <v>9</v>
      </c>
      <c r="N12">
        <v>0</v>
      </c>
      <c r="O12">
        <v>3</v>
      </c>
      <c r="P12">
        <v>6</v>
      </c>
      <c r="Q12">
        <v>0</v>
      </c>
      <c r="R12">
        <v>0</v>
      </c>
      <c r="S12">
        <v>25000</v>
      </c>
      <c r="T12">
        <v>3000</v>
      </c>
      <c r="U12">
        <v>0</v>
      </c>
      <c r="V12">
        <v>0</v>
      </c>
      <c r="W12">
        <f>salaire_de_base(Tableau1[[#This Row],[Nb_hr_pointee]],Tableau1[[#This Row],[Catégorie]])</f>
        <v>323200</v>
      </c>
      <c r="X12">
        <f>heures_supplémentaires(Tableau1[[#This Row],[Catégorie]],Tableau1[[#This Row],[H_Supp_15]],Tableau1[[#This Row],[H_Supp_40]],Tableau1[[#This Row],[H_Supp_60]],Tableau1[[#This Row],[H_Supp_100]])</f>
        <v>54843</v>
      </c>
      <c r="Y12">
        <f>salaire_brut_social(Tableau1[[#This Row],[Prime]],Tableau1[[#This Row],[salaire_de_base]],Tableau1[[#This Row],[heures_supplémentaires]])</f>
        <v>378043</v>
      </c>
      <c r="Z12">
        <f>salaire_brut_fiscal(Tableau1[[#This Row],[Avantage]],Tableau1[[#This Row],[salaire_brut_social]])</f>
        <v>378043</v>
      </c>
      <c r="AA12">
        <f>regime_general(Tableau1[[#This Row],[salaire_brut_social]])</f>
        <v>20160</v>
      </c>
      <c r="AB12">
        <f>regime_cadre(Tableau1[[#This Row],[salaire_brut_social]])</f>
        <v>9073.0320000000011</v>
      </c>
      <c r="AC12">
        <f>TRIMF(Tableau1[[#This Row],[Etat_Civil]],Tableau1[[#This Row],[Nb_epouse]],Tableau1[[#This Row],[salaire_brut_fiscal]],Tableau1[[#This Row],[Sexe]])</f>
        <v>0</v>
      </c>
      <c r="AD12">
        <f>IR(Tableau1[[#This Row],[Etat_Civil]],Tableau1[[#This Row],[Nb_enfant]],Tableau1[[#This Row],[Nb_enfant]]+Tableau1[[#This Row],[salaire_brut_fiscal]])</f>
        <v>67912.899999999994</v>
      </c>
      <c r="AE12">
        <f>total_retenues(Tableau1[[#This Row],[Regime_general]],Tableau1[[#This Row],[Regime_cadre]],Tableau1[[#This Row],[IPM]],Tableau1[[#This Row],[TRIMF]],Tableau1[[#This Row],[IR]],Tableau1[[#This Row],[Avance_Ac]],Tableau1[[#This Row],[Opposition]])</f>
        <v>100145.932</v>
      </c>
      <c r="AF12">
        <f>salaire_net(Tableau1[[#This Row],[salaire_brut_social]],Tableau1[[#This Row],[Total_retenues]])</f>
        <v>277897.06799999997</v>
      </c>
      <c r="AG12">
        <f>net_a_payer(Tableau1[[#This Row],[salaire_net]],Tableau1[[#This Row],[Indemnité]])</f>
        <v>302897.06799999997</v>
      </c>
      <c r="AJ12" s="3">
        <f>age(Tableau1[[#This Row],[Date Nais]])</f>
        <v>57</v>
      </c>
    </row>
    <row r="13" spans="1:36" x14ac:dyDescent="0.25">
      <c r="A13">
        <v>12</v>
      </c>
      <c r="B13" t="s">
        <v>89</v>
      </c>
      <c r="C13" t="s">
        <v>90</v>
      </c>
      <c r="D13" t="s">
        <v>91</v>
      </c>
      <c r="E13" s="2">
        <v>22132</v>
      </c>
      <c r="F13" t="s">
        <v>92</v>
      </c>
      <c r="G13" t="s">
        <v>32</v>
      </c>
      <c r="H13" t="s">
        <v>33</v>
      </c>
      <c r="I13" t="s">
        <v>54</v>
      </c>
      <c r="J13">
        <v>0</v>
      </c>
      <c r="K13">
        <v>0</v>
      </c>
      <c r="L13">
        <v>160</v>
      </c>
      <c r="M13">
        <v>0</v>
      </c>
      <c r="N13">
        <v>0</v>
      </c>
      <c r="O13">
        <v>2</v>
      </c>
      <c r="P13">
        <v>0</v>
      </c>
      <c r="Q13">
        <v>10000</v>
      </c>
      <c r="R13">
        <v>0</v>
      </c>
      <c r="S13">
        <v>0</v>
      </c>
      <c r="T13">
        <v>0</v>
      </c>
      <c r="U13">
        <v>17500</v>
      </c>
      <c r="V13">
        <v>0</v>
      </c>
      <c r="W13">
        <f>salaire_de_base(Tableau1[[#This Row],[Nb_hr_pointee]],Tableau1[[#This Row],[Catégorie]])</f>
        <v>323200</v>
      </c>
      <c r="X13">
        <f>heures_supplémentaires(Tableau1[[#This Row],[Catégorie]],Tableau1[[#This Row],[H_Supp_15]],Tableau1[[#This Row],[H_Supp_40]],Tableau1[[#This Row],[H_Supp_60]],Tableau1[[#This Row],[H_Supp_100]])</f>
        <v>6464</v>
      </c>
      <c r="Y13">
        <f>salaire_brut_social(Tableau1[[#This Row],[Prime]],Tableau1[[#This Row],[salaire_de_base]],Tableau1[[#This Row],[heures_supplémentaires]])</f>
        <v>339664</v>
      </c>
      <c r="Z13">
        <f>salaire_brut_fiscal(Tableau1[[#This Row],[Avantage]],Tableau1[[#This Row],[salaire_brut_social]])</f>
        <v>339664</v>
      </c>
      <c r="AA13">
        <f>regime_general(Tableau1[[#This Row],[salaire_brut_social]])</f>
        <v>19021.184000000001</v>
      </c>
      <c r="AB13">
        <f>regime_cadre(Tableau1[[#This Row],[salaire_brut_social]])</f>
        <v>0</v>
      </c>
      <c r="AC13">
        <f>TRIMF(Tableau1[[#This Row],[Etat_Civil]],Tableau1[[#This Row],[Nb_epouse]],Tableau1[[#This Row],[salaire_brut_fiscal]],Tableau1[[#This Row],[Sexe]])</f>
        <v>0</v>
      </c>
      <c r="AD13">
        <f>IR(Tableau1[[#This Row],[Etat_Civil]],Tableau1[[#This Row],[Nb_enfant]],Tableau1[[#This Row],[Nb_enfant]]+Tableau1[[#This Row],[salaire_brut_fiscal]])</f>
        <v>56399.19999999999</v>
      </c>
      <c r="AE13">
        <f>total_retenues(Tableau1[[#This Row],[Regime_general]],Tableau1[[#This Row],[Regime_cadre]],Tableau1[[#This Row],[IPM]],Tableau1[[#This Row],[TRIMF]],Tableau1[[#This Row],[IR]],Tableau1[[#This Row],[Avance_Ac]],Tableau1[[#This Row],[Opposition]])</f>
        <v>92920.383999999991</v>
      </c>
      <c r="AF13">
        <f>salaire_net(Tableau1[[#This Row],[salaire_brut_social]],Tableau1[[#This Row],[Total_retenues]])</f>
        <v>246743.61600000001</v>
      </c>
      <c r="AG13">
        <f>net_a_payer(Tableau1[[#This Row],[salaire_net]],Tableau1[[#This Row],[Indemnité]])</f>
        <v>246743.61600000001</v>
      </c>
      <c r="AJ13" s="3">
        <f>age(Tableau1[[#This Row],[Date Nais]])</f>
        <v>60</v>
      </c>
    </row>
    <row r="14" spans="1:36" x14ac:dyDescent="0.25">
      <c r="A14">
        <v>13</v>
      </c>
      <c r="B14" t="s">
        <v>93</v>
      </c>
      <c r="C14" t="s">
        <v>94</v>
      </c>
      <c r="D14" t="s">
        <v>95</v>
      </c>
      <c r="E14" t="s">
        <v>96</v>
      </c>
      <c r="F14" t="s">
        <v>97</v>
      </c>
      <c r="G14" t="s">
        <v>34</v>
      </c>
      <c r="H14" t="s">
        <v>33</v>
      </c>
      <c r="I14" t="s">
        <v>54</v>
      </c>
      <c r="J14">
        <v>0</v>
      </c>
      <c r="K14">
        <v>1</v>
      </c>
      <c r="L14">
        <v>150</v>
      </c>
      <c r="M14">
        <v>0</v>
      </c>
      <c r="N14">
        <v>5</v>
      </c>
      <c r="O14">
        <v>0</v>
      </c>
      <c r="P14">
        <v>8</v>
      </c>
      <c r="Q14">
        <v>0</v>
      </c>
      <c r="R14">
        <v>0</v>
      </c>
      <c r="S14">
        <v>17000</v>
      </c>
      <c r="T14">
        <v>3000</v>
      </c>
      <c r="U14">
        <v>0</v>
      </c>
      <c r="V14">
        <v>20000</v>
      </c>
      <c r="W14">
        <f>salaire_de_base(Tableau1[[#This Row],[Nb_hr_pointee]],Tableau1[[#This Row],[Catégorie]])</f>
        <v>303000</v>
      </c>
      <c r="X14">
        <f>heures_supplémentaires(Tableau1[[#This Row],[Catégorie]],Tableau1[[#This Row],[H_Supp_15]],Tableau1[[#This Row],[H_Supp_40]],Tableau1[[#This Row],[H_Supp_60]],Tableau1[[#This Row],[H_Supp_100]])</f>
        <v>46460</v>
      </c>
      <c r="Y14">
        <f>salaire_brut_social(Tableau1[[#This Row],[Prime]],Tableau1[[#This Row],[salaire_de_base]],Tableau1[[#This Row],[heures_supplémentaires]])</f>
        <v>349460</v>
      </c>
      <c r="Z14">
        <f>salaire_brut_fiscal(Tableau1[[#This Row],[Avantage]],Tableau1[[#This Row],[salaire_brut_social]])</f>
        <v>349460</v>
      </c>
      <c r="AA14">
        <f>regime_general(Tableau1[[#This Row],[salaire_brut_social]])</f>
        <v>19569.760000000002</v>
      </c>
      <c r="AB14">
        <f>regime_cadre(Tableau1[[#This Row],[salaire_brut_social]])</f>
        <v>0</v>
      </c>
      <c r="AC14">
        <f>TRIMF(Tableau1[[#This Row],[Etat_Civil]],Tableau1[[#This Row],[Nb_epouse]],Tableau1[[#This Row],[salaire_brut_fiscal]],Tableau1[[#This Row],[Sexe]])</f>
        <v>0</v>
      </c>
      <c r="AD14">
        <f>IR(Tableau1[[#This Row],[Etat_Civil]],Tableau1[[#This Row],[Nb_enfant]],Tableau1[[#This Row],[Nb_enfant]]+Tableau1[[#This Row],[salaire_brut_fiscal]])</f>
        <v>59338.299999999996</v>
      </c>
      <c r="AE14">
        <f>total_retenues(Tableau1[[#This Row],[Regime_general]],Tableau1[[#This Row],[Regime_cadre]],Tableau1[[#This Row],[IPM]],Tableau1[[#This Row],[TRIMF]],Tableau1[[#This Row],[IR]],Tableau1[[#This Row],[Avance_Ac]],Tableau1[[#This Row],[Opposition]])</f>
        <v>101908.06</v>
      </c>
      <c r="AF14">
        <f>salaire_net(Tableau1[[#This Row],[salaire_brut_social]],Tableau1[[#This Row],[Total_retenues]])</f>
        <v>247551.94</v>
      </c>
      <c r="AG14">
        <f>net_a_payer(Tableau1[[#This Row],[salaire_net]],Tableau1[[#This Row],[Indemnité]])</f>
        <v>264551.94</v>
      </c>
      <c r="AJ14" s="3">
        <f>age(Tableau1[[#This Row],[Date Nais]])</f>
        <v>44</v>
      </c>
    </row>
    <row r="15" spans="1:36" x14ac:dyDescent="0.25">
      <c r="A15">
        <v>14</v>
      </c>
      <c r="B15" t="s">
        <v>98</v>
      </c>
      <c r="C15" t="s">
        <v>99</v>
      </c>
      <c r="D15" t="s">
        <v>100</v>
      </c>
      <c r="E15" t="s">
        <v>101</v>
      </c>
      <c r="F15" t="s">
        <v>102</v>
      </c>
      <c r="G15" t="s">
        <v>32</v>
      </c>
      <c r="H15" t="s">
        <v>35</v>
      </c>
      <c r="I15" t="s">
        <v>54</v>
      </c>
      <c r="J15">
        <v>0</v>
      </c>
      <c r="K15">
        <v>0</v>
      </c>
      <c r="L15">
        <v>155</v>
      </c>
      <c r="M15">
        <v>9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2500</v>
      </c>
      <c r="U15">
        <v>0</v>
      </c>
      <c r="V15">
        <v>0</v>
      </c>
      <c r="W15">
        <f>salaire_de_base(Tableau1[[#This Row],[Nb_hr_pointee]],Tableau1[[#This Row],[Catégorie]])</f>
        <v>214675</v>
      </c>
      <c r="X15">
        <f>heures_supplémentaires(Tableau1[[#This Row],[Catégorie]],Tableau1[[#This Row],[H_Supp_15]],Tableau1[[#This Row],[H_Supp_40]],Tableau1[[#This Row],[H_Supp_60]],Tableau1[[#This Row],[H_Supp_100]])</f>
        <v>14334.749999999998</v>
      </c>
      <c r="Y15">
        <f>salaire_brut_social(Tableau1[[#This Row],[Prime]],Tableau1[[#This Row],[salaire_de_base]],Tableau1[[#This Row],[heures_supplémentaires]])</f>
        <v>229009.75</v>
      </c>
      <c r="Z15">
        <f>salaire_brut_fiscal(Tableau1[[#This Row],[Avantage]],Tableau1[[#This Row],[salaire_brut_social]])</f>
        <v>229009.75</v>
      </c>
      <c r="AA15">
        <f>regime_general(Tableau1[[#This Row],[salaire_brut_social]])</f>
        <v>12824.546</v>
      </c>
      <c r="AB15">
        <f>regime_cadre(Tableau1[[#This Row],[salaire_brut_social]])</f>
        <v>0</v>
      </c>
      <c r="AC15">
        <f>TRIMF(Tableau1[[#This Row],[Etat_Civil]],Tableau1[[#This Row],[Nb_epouse]],Tableau1[[#This Row],[salaire_brut_fiscal]],Tableau1[[#This Row],[Sexe]])</f>
        <v>0</v>
      </c>
      <c r="AD15">
        <f>IR(Tableau1[[#This Row],[Etat_Civil]],Tableau1[[#This Row],[Nb_enfant]],Tableau1[[#This Row],[Nb_enfant]]+Tableau1[[#This Row],[salaire_brut_fiscal]])</f>
        <v>25092.100000000002</v>
      </c>
      <c r="AE15">
        <f>total_retenues(Tableau1[[#This Row],[Regime_general]],Tableau1[[#This Row],[Regime_cadre]],Tableau1[[#This Row],[IPM]],Tableau1[[#This Row],[TRIMF]],Tableau1[[#This Row],[IR]],Tableau1[[#This Row],[Avance_Ac]],Tableau1[[#This Row],[Opposition]])</f>
        <v>40416.646000000001</v>
      </c>
      <c r="AF15">
        <f>salaire_net(Tableau1[[#This Row],[salaire_brut_social]],Tableau1[[#This Row],[Total_retenues]])</f>
        <v>188593.10399999999</v>
      </c>
      <c r="AG15">
        <f>net_a_payer(Tableau1[[#This Row],[salaire_net]],Tableau1[[#This Row],[Indemnité]])</f>
        <v>188593.10399999999</v>
      </c>
      <c r="AJ15" s="3">
        <f>age(Tableau1[[#This Row],[Date Nais]])</f>
        <v>48</v>
      </c>
    </row>
    <row r="16" spans="1:36" x14ac:dyDescent="0.25">
      <c r="A16">
        <v>15</v>
      </c>
      <c r="B16" t="s">
        <v>103</v>
      </c>
      <c r="C16" t="s">
        <v>104</v>
      </c>
      <c r="D16" t="s">
        <v>100</v>
      </c>
      <c r="E16" t="s">
        <v>105</v>
      </c>
      <c r="F16" t="s">
        <v>102</v>
      </c>
      <c r="G16" t="s">
        <v>32</v>
      </c>
      <c r="H16" t="s">
        <v>35</v>
      </c>
      <c r="I16" t="s">
        <v>54</v>
      </c>
      <c r="J16">
        <v>0</v>
      </c>
      <c r="K16">
        <v>0</v>
      </c>
      <c r="L16">
        <v>145</v>
      </c>
      <c r="M16">
        <v>0</v>
      </c>
      <c r="N16">
        <v>5</v>
      </c>
      <c r="O16">
        <v>7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f>salaire_de_base(Tableau1[[#This Row],[Nb_hr_pointee]],Tableau1[[#This Row],[Catégorie]])</f>
        <v>200825</v>
      </c>
      <c r="X16">
        <f>heures_supplémentaires(Tableau1[[#This Row],[Catégorie]],Tableau1[[#This Row],[H_Supp_15]],Tableau1[[#This Row],[H_Supp_40]],Tableau1[[#This Row],[H_Supp_60]],Tableau1[[#This Row],[H_Supp_100]])</f>
        <v>25207</v>
      </c>
      <c r="Y16">
        <f>salaire_brut_social(Tableau1[[#This Row],[Prime]],Tableau1[[#This Row],[salaire_de_base]],Tableau1[[#This Row],[heures_supplémentaires]])</f>
        <v>226032</v>
      </c>
      <c r="Z16">
        <f>salaire_brut_fiscal(Tableau1[[#This Row],[Avantage]],Tableau1[[#This Row],[salaire_brut_social]])</f>
        <v>226032</v>
      </c>
      <c r="AA16">
        <f>regime_general(Tableau1[[#This Row],[salaire_brut_social]])</f>
        <v>12657.791999999999</v>
      </c>
      <c r="AB16">
        <f>regime_cadre(Tableau1[[#This Row],[salaire_brut_social]])</f>
        <v>0</v>
      </c>
      <c r="AC16">
        <f>TRIMF(Tableau1[[#This Row],[Etat_Civil]],Tableau1[[#This Row],[Nb_epouse]],Tableau1[[#This Row],[salaire_brut_fiscal]],Tableau1[[#This Row],[Sexe]])</f>
        <v>0</v>
      </c>
      <c r="AD16">
        <f>IR(Tableau1[[#This Row],[Etat_Civil]],Tableau1[[#This Row],[Nb_enfant]],Tableau1[[#This Row],[Nb_enfant]]+Tableau1[[#This Row],[salaire_brut_fiscal]])</f>
        <v>24466.720000000001</v>
      </c>
      <c r="AE16">
        <f>total_retenues(Tableau1[[#This Row],[Regime_general]],Tableau1[[#This Row],[Regime_cadre]],Tableau1[[#This Row],[IPM]],Tableau1[[#This Row],[TRIMF]],Tableau1[[#This Row],[IR]],Tableau1[[#This Row],[Avance_Ac]],Tableau1[[#This Row],[Opposition]])</f>
        <v>37124.512000000002</v>
      </c>
      <c r="AF16">
        <f>salaire_net(Tableau1[[#This Row],[salaire_brut_social]],Tableau1[[#This Row],[Total_retenues]])</f>
        <v>188907.48800000001</v>
      </c>
      <c r="AG16">
        <f>net_a_payer(Tableau1[[#This Row],[salaire_net]],Tableau1[[#This Row],[Indemnité]])</f>
        <v>188907.48800000001</v>
      </c>
      <c r="AJ16" s="3">
        <f>age(Tableau1[[#This Row],[Date Nais]])</f>
        <v>58</v>
      </c>
    </row>
    <row r="17" spans="1:36" x14ac:dyDescent="0.25">
      <c r="A17">
        <v>16</v>
      </c>
      <c r="B17" t="s">
        <v>106</v>
      </c>
      <c r="C17" t="s">
        <v>107</v>
      </c>
      <c r="D17" t="s">
        <v>108</v>
      </c>
      <c r="E17" t="s">
        <v>109</v>
      </c>
      <c r="F17" t="s">
        <v>110</v>
      </c>
      <c r="G17" t="s">
        <v>32</v>
      </c>
      <c r="H17" t="s">
        <v>35</v>
      </c>
      <c r="I17" t="s">
        <v>48</v>
      </c>
      <c r="J17">
        <v>1</v>
      </c>
      <c r="K17">
        <v>4</v>
      </c>
      <c r="L17">
        <v>155</v>
      </c>
      <c r="M17">
        <v>6</v>
      </c>
      <c r="N17">
        <v>0</v>
      </c>
      <c r="O17">
        <v>0</v>
      </c>
      <c r="P17">
        <v>6</v>
      </c>
      <c r="Q17">
        <v>10000</v>
      </c>
      <c r="R17">
        <v>0</v>
      </c>
      <c r="S17">
        <v>0</v>
      </c>
      <c r="T17">
        <v>0</v>
      </c>
      <c r="U17">
        <v>0</v>
      </c>
      <c r="V17">
        <v>0</v>
      </c>
      <c r="W17">
        <f>salaire_de_base(Tableau1[[#This Row],[Nb_hr_pointee]],Tableau1[[#This Row],[Catégorie]])</f>
        <v>214675</v>
      </c>
      <c r="X17">
        <f>heures_supplémentaires(Tableau1[[#This Row],[Catégorie]],Tableau1[[#This Row],[H_Supp_15]],Tableau1[[#This Row],[H_Supp_40]],Tableau1[[#This Row],[H_Supp_60]],Tableau1[[#This Row],[H_Supp_100]])</f>
        <v>26176.5</v>
      </c>
      <c r="Y17">
        <f>salaire_brut_social(Tableau1[[#This Row],[Prime]],Tableau1[[#This Row],[salaire_de_base]],Tableau1[[#This Row],[heures_supplémentaires]])</f>
        <v>250851.5</v>
      </c>
      <c r="Z17">
        <f>salaire_brut_fiscal(Tableau1[[#This Row],[Avantage]],Tableau1[[#This Row],[salaire_brut_social]])</f>
        <v>250851.5</v>
      </c>
      <c r="AA17">
        <f>regime_general(Tableau1[[#This Row],[salaire_brut_social]])</f>
        <v>14047.684000000001</v>
      </c>
      <c r="AB17">
        <f>regime_cadre(Tableau1[[#This Row],[salaire_brut_social]])</f>
        <v>0</v>
      </c>
      <c r="AC17">
        <f>TRIMF(Tableau1[[#This Row],[Etat_Civil]],Tableau1[[#This Row],[Nb_epouse]],Tableau1[[#This Row],[salaire_brut_fiscal]],Tableau1[[#This Row],[Sexe]])</f>
        <v>1800</v>
      </c>
      <c r="AD17">
        <f>IR(Tableau1[[#This Row],[Etat_Civil]],Tableau1[[#This Row],[Nb_enfant]],Tableau1[[#This Row],[Nb_enfant]]+Tableau1[[#This Row],[salaire_brut_fiscal]])</f>
        <v>0</v>
      </c>
      <c r="AE17">
        <f>total_retenues(Tableau1[[#This Row],[Regime_general]],Tableau1[[#This Row],[Regime_cadre]],Tableau1[[#This Row],[IPM]],Tableau1[[#This Row],[TRIMF]],Tableau1[[#This Row],[IR]],Tableau1[[#This Row],[Avance_Ac]],Tableau1[[#This Row],[Opposition]])</f>
        <v>15847.684000000001</v>
      </c>
      <c r="AF17">
        <f>salaire_net(Tableau1[[#This Row],[salaire_brut_social]],Tableau1[[#This Row],[Total_retenues]])</f>
        <v>235003.81599999999</v>
      </c>
      <c r="AG17">
        <f>net_a_payer(Tableau1[[#This Row],[salaire_net]],Tableau1[[#This Row],[Indemnité]])</f>
        <v>235003.81599999999</v>
      </c>
      <c r="AJ17" s="3">
        <f>age(Tableau1[[#This Row],[Date Nais]])</f>
        <v>57</v>
      </c>
    </row>
    <row r="18" spans="1:36" x14ac:dyDescent="0.25">
      <c r="A18">
        <v>17</v>
      </c>
      <c r="B18" t="s">
        <v>111</v>
      </c>
      <c r="C18" t="s">
        <v>112</v>
      </c>
      <c r="D18" t="s">
        <v>108</v>
      </c>
      <c r="E18" s="2">
        <v>25335</v>
      </c>
      <c r="F18" t="s">
        <v>113</v>
      </c>
      <c r="G18" t="s">
        <v>32</v>
      </c>
      <c r="H18" t="s">
        <v>35</v>
      </c>
      <c r="I18" t="s">
        <v>48</v>
      </c>
      <c r="J18">
        <v>1</v>
      </c>
      <c r="K18">
        <v>4</v>
      </c>
      <c r="L18">
        <v>160</v>
      </c>
      <c r="M18">
        <v>0</v>
      </c>
      <c r="N18">
        <v>15</v>
      </c>
      <c r="O18">
        <v>5</v>
      </c>
      <c r="P18">
        <v>0</v>
      </c>
      <c r="Q18">
        <v>0</v>
      </c>
      <c r="R18">
        <v>0</v>
      </c>
      <c r="S18">
        <v>0</v>
      </c>
      <c r="T18">
        <v>0</v>
      </c>
      <c r="U18">
        <v>20000</v>
      </c>
      <c r="V18">
        <v>0</v>
      </c>
      <c r="W18">
        <f>salaire_de_base(Tableau1[[#This Row],[Nb_hr_pointee]],Tableau1[[#This Row],[Catégorie]])</f>
        <v>221600</v>
      </c>
      <c r="X18">
        <f>heures_supplémentaires(Tableau1[[#This Row],[Catégorie]],Tableau1[[#This Row],[H_Supp_15]],Tableau1[[#This Row],[H_Supp_40]],Tableau1[[#This Row],[H_Supp_60]],Tableau1[[#This Row],[H_Supp_100]])</f>
        <v>40165</v>
      </c>
      <c r="Y18">
        <f>salaire_brut_social(Tableau1[[#This Row],[Prime]],Tableau1[[#This Row],[salaire_de_base]],Tableau1[[#This Row],[heures_supplémentaires]])</f>
        <v>261765</v>
      </c>
      <c r="Z18">
        <f>salaire_brut_fiscal(Tableau1[[#This Row],[Avantage]],Tableau1[[#This Row],[salaire_brut_social]])</f>
        <v>261765</v>
      </c>
      <c r="AA18">
        <f>regime_general(Tableau1[[#This Row],[salaire_brut_social]])</f>
        <v>14658.84</v>
      </c>
      <c r="AB18">
        <f>regime_cadre(Tableau1[[#This Row],[salaire_brut_social]])</f>
        <v>0</v>
      </c>
      <c r="AC18">
        <f>TRIMF(Tableau1[[#This Row],[Etat_Civil]],Tableau1[[#This Row],[Nb_epouse]],Tableau1[[#This Row],[salaire_brut_fiscal]],Tableau1[[#This Row],[Sexe]])</f>
        <v>1800</v>
      </c>
      <c r="AD18">
        <f>IR(Tableau1[[#This Row],[Etat_Civil]],Tableau1[[#This Row],[Nb_enfant]],Tableau1[[#This Row],[Nb_enfant]]+Tableau1[[#This Row],[salaire_brut_fiscal]])</f>
        <v>0</v>
      </c>
      <c r="AE18">
        <f>total_retenues(Tableau1[[#This Row],[Regime_general]],Tableau1[[#This Row],[Regime_cadre]],Tableau1[[#This Row],[IPM]],Tableau1[[#This Row],[TRIMF]],Tableau1[[#This Row],[IR]],Tableau1[[#This Row],[Avance_Ac]],Tableau1[[#This Row],[Opposition]])</f>
        <v>36458.839999999997</v>
      </c>
      <c r="AF18">
        <f>salaire_net(Tableau1[[#This Row],[salaire_brut_social]],Tableau1[[#This Row],[Total_retenues]])</f>
        <v>225306.16</v>
      </c>
      <c r="AG18">
        <f>net_a_payer(Tableau1[[#This Row],[salaire_net]],Tableau1[[#This Row],[Indemnité]])</f>
        <v>225306.16</v>
      </c>
      <c r="AJ18" s="3">
        <f>age(Tableau1[[#This Row],[Date Nais]])</f>
        <v>51</v>
      </c>
    </row>
    <row r="19" spans="1:36" x14ac:dyDescent="0.25">
      <c r="A19">
        <v>18</v>
      </c>
      <c r="B19" t="s">
        <v>114</v>
      </c>
      <c r="C19" t="s">
        <v>115</v>
      </c>
      <c r="D19" t="s">
        <v>116</v>
      </c>
      <c r="E19" t="s">
        <v>117</v>
      </c>
      <c r="F19" t="s">
        <v>118</v>
      </c>
      <c r="G19" t="s">
        <v>32</v>
      </c>
      <c r="H19" t="s">
        <v>36</v>
      </c>
      <c r="I19" t="s">
        <v>48</v>
      </c>
      <c r="J19">
        <v>2</v>
      </c>
      <c r="K19">
        <v>7</v>
      </c>
      <c r="L19">
        <v>160</v>
      </c>
      <c r="M19">
        <v>0</v>
      </c>
      <c r="N19">
        <v>8</v>
      </c>
      <c r="O19">
        <v>0</v>
      </c>
      <c r="P19">
        <v>0</v>
      </c>
      <c r="Q19">
        <v>10000</v>
      </c>
      <c r="R19">
        <v>15000</v>
      </c>
      <c r="S19">
        <v>0</v>
      </c>
      <c r="T19">
        <v>0</v>
      </c>
      <c r="U19">
        <v>15000</v>
      </c>
      <c r="V19">
        <v>0</v>
      </c>
      <c r="W19">
        <f>salaire_de_base(Tableau1[[#This Row],[Nb_hr_pointee]],Tableau1[[#This Row],[Catégorie]])</f>
        <v>433760</v>
      </c>
      <c r="X19">
        <f>heures_supplémentaires(Tableau1[[#This Row],[Catégorie]],Tableau1[[#This Row],[H_Supp_15]],Tableau1[[#This Row],[H_Supp_40]],Tableau1[[#This Row],[H_Supp_60]],Tableau1[[#This Row],[H_Supp_100]])</f>
        <v>30363.199999999997</v>
      </c>
      <c r="Y19">
        <f>salaire_brut_social(Tableau1[[#This Row],[Prime]],Tableau1[[#This Row],[salaire_de_base]],Tableau1[[#This Row],[heures_supplémentaires]])</f>
        <v>474123.2</v>
      </c>
      <c r="Z19">
        <f>salaire_brut_fiscal(Tableau1[[#This Row],[Avantage]],Tableau1[[#This Row],[salaire_brut_social]])</f>
        <v>489123.2</v>
      </c>
      <c r="AA19">
        <f>regime_general(Tableau1[[#This Row],[salaire_brut_social]])</f>
        <v>20160</v>
      </c>
      <c r="AB19">
        <f>regime_cadre(Tableau1[[#This Row],[salaire_brut_social]])</f>
        <v>11378.9568</v>
      </c>
      <c r="AC19">
        <f>TRIMF(Tableau1[[#This Row],[Etat_Civil]],Tableau1[[#This Row],[Nb_epouse]],Tableau1[[#This Row],[salaire_brut_fiscal]],Tableau1[[#This Row],[Sexe]])</f>
        <v>2700</v>
      </c>
      <c r="AD19">
        <f>IR(Tableau1[[#This Row],[Etat_Civil]],Tableau1[[#This Row],[Nb_enfant]],Tableau1[[#This Row],[Nb_enfant]]+Tableau1[[#This Row],[salaire_brut_fiscal]])</f>
        <v>38612.166666666664</v>
      </c>
      <c r="AE19">
        <f>total_retenues(Tableau1[[#This Row],[Regime_general]],Tableau1[[#This Row],[Regime_cadre]],Tableau1[[#This Row],[IPM]],Tableau1[[#This Row],[TRIMF]],Tableau1[[#This Row],[IR]],Tableau1[[#This Row],[Avance_Ac]],Tableau1[[#This Row],[Opposition]])</f>
        <v>87851.123466666671</v>
      </c>
      <c r="AF19">
        <f>salaire_net(Tableau1[[#This Row],[salaire_brut_social]],Tableau1[[#This Row],[Total_retenues]])</f>
        <v>386272.07653333334</v>
      </c>
      <c r="AG19">
        <f>net_a_payer(Tableau1[[#This Row],[salaire_net]],Tableau1[[#This Row],[Indemnité]])</f>
        <v>386272.07653333334</v>
      </c>
      <c r="AJ19" s="3">
        <f>age(Tableau1[[#This Row],[Date Nais]])</f>
        <v>57</v>
      </c>
    </row>
    <row r="20" spans="1:36" x14ac:dyDescent="0.25">
      <c r="A20">
        <v>19</v>
      </c>
      <c r="B20" t="s">
        <v>119</v>
      </c>
      <c r="C20" t="s">
        <v>120</v>
      </c>
      <c r="D20" t="s">
        <v>121</v>
      </c>
      <c r="E20" t="s">
        <v>122</v>
      </c>
      <c r="F20" t="s">
        <v>123</v>
      </c>
      <c r="G20" t="s">
        <v>32</v>
      </c>
      <c r="H20" t="s">
        <v>35</v>
      </c>
      <c r="I20" t="s">
        <v>48</v>
      </c>
      <c r="J20">
        <v>1</v>
      </c>
      <c r="K20">
        <v>1</v>
      </c>
      <c r="L20">
        <v>150</v>
      </c>
      <c r="M20">
        <v>0</v>
      </c>
      <c r="N20">
        <v>0</v>
      </c>
      <c r="O20">
        <v>0</v>
      </c>
      <c r="P20">
        <v>8</v>
      </c>
      <c r="Q20">
        <v>0</v>
      </c>
      <c r="R20">
        <v>0</v>
      </c>
      <c r="S20">
        <v>0</v>
      </c>
      <c r="T20">
        <v>3000</v>
      </c>
      <c r="U20">
        <v>0</v>
      </c>
      <c r="V20">
        <v>0</v>
      </c>
      <c r="W20">
        <f>salaire_de_base(Tableau1[[#This Row],[Nb_hr_pointee]],Tableau1[[#This Row],[Catégorie]])</f>
        <v>207750</v>
      </c>
      <c r="X20">
        <f>heures_supplémentaires(Tableau1[[#This Row],[Catégorie]],Tableau1[[#This Row],[H_Supp_15]],Tableau1[[#This Row],[H_Supp_40]],Tableau1[[#This Row],[H_Supp_60]],Tableau1[[#This Row],[H_Supp_100]])</f>
        <v>22160</v>
      </c>
      <c r="Y20">
        <f>salaire_brut_social(Tableau1[[#This Row],[Prime]],Tableau1[[#This Row],[salaire_de_base]],Tableau1[[#This Row],[heures_supplémentaires]])</f>
        <v>229910</v>
      </c>
      <c r="Z20">
        <f>salaire_brut_fiscal(Tableau1[[#This Row],[Avantage]],Tableau1[[#This Row],[salaire_brut_social]])</f>
        <v>229910</v>
      </c>
      <c r="AA20">
        <f>regime_general(Tableau1[[#This Row],[salaire_brut_social]])</f>
        <v>12874.960000000001</v>
      </c>
      <c r="AB20">
        <f>regime_cadre(Tableau1[[#This Row],[salaire_brut_social]])</f>
        <v>0</v>
      </c>
      <c r="AC20">
        <f>TRIMF(Tableau1[[#This Row],[Etat_Civil]],Tableau1[[#This Row],[Nb_epouse]],Tableau1[[#This Row],[salaire_brut_fiscal]],Tableau1[[#This Row],[Sexe]])</f>
        <v>1800</v>
      </c>
      <c r="AD20">
        <f>IR(Tableau1[[#This Row],[Etat_Civil]],Tableau1[[#This Row],[Nb_enfant]],Tableau1[[#This Row],[Nb_enfant]]+Tableau1[[#This Row],[salaire_brut_fiscal]])</f>
        <v>8614.6433333333316</v>
      </c>
      <c r="AE20">
        <f>total_retenues(Tableau1[[#This Row],[Regime_general]],Tableau1[[#This Row],[Regime_cadre]],Tableau1[[#This Row],[IPM]],Tableau1[[#This Row],[TRIMF]],Tableau1[[#This Row],[IR]],Tableau1[[#This Row],[Avance_Ac]],Tableau1[[#This Row],[Opposition]])</f>
        <v>26289.603333333333</v>
      </c>
      <c r="AF20">
        <f>salaire_net(Tableau1[[#This Row],[salaire_brut_social]],Tableau1[[#This Row],[Total_retenues]])</f>
        <v>203620.39666666667</v>
      </c>
      <c r="AG20">
        <f>net_a_payer(Tableau1[[#This Row],[salaire_net]],Tableau1[[#This Row],[Indemnité]])</f>
        <v>203620.39666666667</v>
      </c>
      <c r="AJ20" s="3">
        <f>age(Tableau1[[#This Row],[Date Nais]])</f>
        <v>51</v>
      </c>
    </row>
    <row r="21" spans="1:36" x14ac:dyDescent="0.25">
      <c r="A21">
        <v>20</v>
      </c>
      <c r="B21" t="s">
        <v>124</v>
      </c>
      <c r="C21" t="s">
        <v>125</v>
      </c>
      <c r="D21" t="s">
        <v>121</v>
      </c>
      <c r="E21" t="s">
        <v>126</v>
      </c>
      <c r="F21" t="s">
        <v>127</v>
      </c>
      <c r="G21" t="s">
        <v>32</v>
      </c>
      <c r="H21" t="s">
        <v>33</v>
      </c>
      <c r="I21" t="s">
        <v>48</v>
      </c>
      <c r="J21">
        <v>1</v>
      </c>
      <c r="K21">
        <v>3</v>
      </c>
      <c r="L21">
        <v>155</v>
      </c>
      <c r="M21">
        <v>7</v>
      </c>
      <c r="N21">
        <v>8</v>
      </c>
      <c r="O21">
        <v>0</v>
      </c>
      <c r="P21">
        <v>0</v>
      </c>
      <c r="Q21">
        <v>0</v>
      </c>
      <c r="R21">
        <v>0</v>
      </c>
      <c r="S21">
        <v>0</v>
      </c>
      <c r="T21">
        <v>2500</v>
      </c>
      <c r="U21">
        <v>0</v>
      </c>
      <c r="V21">
        <v>0</v>
      </c>
      <c r="W21">
        <f>salaire_de_base(Tableau1[[#This Row],[Nb_hr_pointee]],Tableau1[[#This Row],[Catégorie]])</f>
        <v>313100</v>
      </c>
      <c r="X21">
        <f>heures_supplémentaires(Tableau1[[#This Row],[Catégorie]],Tableau1[[#This Row],[H_Supp_15]],Tableau1[[#This Row],[H_Supp_40]],Tableau1[[#This Row],[H_Supp_60]],Tableau1[[#This Row],[H_Supp_100]])</f>
        <v>38885</v>
      </c>
      <c r="Y21">
        <f>salaire_brut_social(Tableau1[[#This Row],[Prime]],Tableau1[[#This Row],[salaire_de_base]],Tableau1[[#This Row],[heures_supplémentaires]])</f>
        <v>351985</v>
      </c>
      <c r="Z21">
        <f>salaire_brut_fiscal(Tableau1[[#This Row],[Avantage]],Tableau1[[#This Row],[salaire_brut_social]])</f>
        <v>351985</v>
      </c>
      <c r="AA21">
        <f>regime_general(Tableau1[[#This Row],[salaire_brut_social]])</f>
        <v>19711.16</v>
      </c>
      <c r="AB21">
        <f>regime_cadre(Tableau1[[#This Row],[salaire_brut_social]])</f>
        <v>0</v>
      </c>
      <c r="AC21">
        <f>TRIMF(Tableau1[[#This Row],[Etat_Civil]],Tableau1[[#This Row],[Nb_epouse]],Tableau1[[#This Row],[salaire_brut_fiscal]],Tableau1[[#This Row],[Sexe]])</f>
        <v>1800</v>
      </c>
      <c r="AD21">
        <f>IR(Tableau1[[#This Row],[Etat_Civil]],Tableau1[[#This Row],[Nb_enfant]],Tableau1[[#This Row],[Nb_enfant]]+Tableau1[[#This Row],[salaire_brut_fiscal]])</f>
        <v>26763.066666666662</v>
      </c>
      <c r="AE21">
        <f>total_retenues(Tableau1[[#This Row],[Regime_general]],Tableau1[[#This Row],[Regime_cadre]],Tableau1[[#This Row],[IPM]],Tableau1[[#This Row],[TRIMF]],Tableau1[[#This Row],[IR]],Tableau1[[#This Row],[Avance_Ac]],Tableau1[[#This Row],[Opposition]])</f>
        <v>50774.226666666662</v>
      </c>
      <c r="AF21">
        <f>salaire_net(Tableau1[[#This Row],[salaire_brut_social]],Tableau1[[#This Row],[Total_retenues]])</f>
        <v>301210.77333333332</v>
      </c>
      <c r="AG21">
        <f>net_a_payer(Tableau1[[#This Row],[salaire_net]],Tableau1[[#This Row],[Indemnité]])</f>
        <v>301210.77333333332</v>
      </c>
      <c r="AJ21" s="3">
        <f>age(Tableau1[[#This Row],[Date Nais]])</f>
        <v>52</v>
      </c>
    </row>
    <row r="22" spans="1:36" x14ac:dyDescent="0.25">
      <c r="A22">
        <v>21</v>
      </c>
      <c r="B22" t="s">
        <v>128</v>
      </c>
      <c r="C22" t="s">
        <v>129</v>
      </c>
      <c r="D22" t="s">
        <v>130</v>
      </c>
      <c r="E22" s="2">
        <v>25236</v>
      </c>
      <c r="F22" t="s">
        <v>131</v>
      </c>
      <c r="G22" t="s">
        <v>32</v>
      </c>
      <c r="H22" t="s">
        <v>33</v>
      </c>
      <c r="I22" t="s">
        <v>48</v>
      </c>
      <c r="J22">
        <v>2</v>
      </c>
      <c r="K22">
        <v>4</v>
      </c>
      <c r="L22">
        <v>160</v>
      </c>
      <c r="M22">
        <v>5</v>
      </c>
      <c r="N22">
        <v>10</v>
      </c>
      <c r="O22">
        <v>4</v>
      </c>
      <c r="P22">
        <v>6</v>
      </c>
      <c r="Q22">
        <v>0</v>
      </c>
      <c r="R22">
        <v>0</v>
      </c>
      <c r="S22">
        <v>20000</v>
      </c>
      <c r="T22">
        <v>0</v>
      </c>
      <c r="U22">
        <v>0</v>
      </c>
      <c r="V22">
        <v>0</v>
      </c>
      <c r="W22">
        <f>salaire_de_base(Tableau1[[#This Row],[Nb_hr_pointee]],Tableau1[[#This Row],[Catégorie]])</f>
        <v>323200</v>
      </c>
      <c r="X22">
        <f>heures_supplémentaires(Tableau1[[#This Row],[Catégorie]],Tableau1[[#This Row],[H_Supp_15]],Tableau1[[#This Row],[H_Supp_40]],Tableau1[[#This Row],[H_Supp_60]],Tableau1[[#This Row],[H_Supp_100]])</f>
        <v>77063</v>
      </c>
      <c r="Y22">
        <f>salaire_brut_social(Tableau1[[#This Row],[Prime]],Tableau1[[#This Row],[salaire_de_base]],Tableau1[[#This Row],[heures_supplémentaires]])</f>
        <v>400263</v>
      </c>
      <c r="Z22">
        <f>salaire_brut_fiscal(Tableau1[[#This Row],[Avantage]],Tableau1[[#This Row],[salaire_brut_social]])</f>
        <v>400263</v>
      </c>
      <c r="AA22">
        <f>regime_general(Tableau1[[#This Row],[salaire_brut_social]])</f>
        <v>20160</v>
      </c>
      <c r="AB22">
        <f>regime_cadre(Tableau1[[#This Row],[salaire_brut_social]])</f>
        <v>9606.3119999999999</v>
      </c>
      <c r="AC22">
        <f>TRIMF(Tableau1[[#This Row],[Etat_Civil]],Tableau1[[#This Row],[Nb_epouse]],Tableau1[[#This Row],[salaire_brut_fiscal]],Tableau1[[#This Row],[Sexe]])</f>
        <v>2700</v>
      </c>
      <c r="AD22">
        <f>IR(Tableau1[[#This Row],[Etat_Civil]],Tableau1[[#This Row],[Nb_enfant]],Tableau1[[#This Row],[Nb_enfant]]+Tableau1[[#This Row],[salaire_brut_fiscal]])</f>
        <v>32913.433333333327</v>
      </c>
      <c r="AE22">
        <f>total_retenues(Tableau1[[#This Row],[Regime_general]],Tableau1[[#This Row],[Regime_cadre]],Tableau1[[#This Row],[IPM]],Tableau1[[#This Row],[TRIMF]],Tableau1[[#This Row],[IR]],Tableau1[[#This Row],[Avance_Ac]],Tableau1[[#This Row],[Opposition]])</f>
        <v>65379.745333333325</v>
      </c>
      <c r="AF22">
        <f>salaire_net(Tableau1[[#This Row],[salaire_brut_social]],Tableau1[[#This Row],[Total_retenues]])</f>
        <v>334883.25466666667</v>
      </c>
      <c r="AG22">
        <f>net_a_payer(Tableau1[[#This Row],[salaire_net]],Tableau1[[#This Row],[Indemnité]])</f>
        <v>354883.25466666667</v>
      </c>
      <c r="AJ22" s="3">
        <f>age(Tableau1[[#This Row],[Date Nais]])</f>
        <v>51</v>
      </c>
    </row>
    <row r="23" spans="1:36" x14ac:dyDescent="0.25">
      <c r="A23">
        <v>22</v>
      </c>
      <c r="B23" t="s">
        <v>132</v>
      </c>
      <c r="C23" t="s">
        <v>133</v>
      </c>
      <c r="D23" t="s">
        <v>130</v>
      </c>
      <c r="E23" s="2">
        <v>22929</v>
      </c>
      <c r="F23" t="s">
        <v>134</v>
      </c>
      <c r="G23" t="s">
        <v>34</v>
      </c>
      <c r="H23" t="s">
        <v>33</v>
      </c>
      <c r="I23" t="s">
        <v>48</v>
      </c>
      <c r="J23">
        <v>0</v>
      </c>
      <c r="K23">
        <v>3</v>
      </c>
      <c r="L23">
        <v>145</v>
      </c>
      <c r="M23">
        <v>0</v>
      </c>
      <c r="N23">
        <v>0</v>
      </c>
      <c r="O23">
        <v>0</v>
      </c>
      <c r="P23">
        <v>0</v>
      </c>
      <c r="Q23">
        <v>10000</v>
      </c>
      <c r="R23">
        <v>0</v>
      </c>
      <c r="S23">
        <v>0</v>
      </c>
      <c r="T23">
        <v>0</v>
      </c>
      <c r="U23">
        <v>0</v>
      </c>
      <c r="V23">
        <v>0</v>
      </c>
      <c r="W23">
        <f>salaire_de_base(Tableau1[[#This Row],[Nb_hr_pointee]],Tableau1[[#This Row],[Catégorie]])</f>
        <v>292900</v>
      </c>
      <c r="X23">
        <f>heures_supplémentaires(Tableau1[[#This Row],[Catégorie]],Tableau1[[#This Row],[H_Supp_15]],Tableau1[[#This Row],[H_Supp_40]],Tableau1[[#This Row],[H_Supp_60]],Tableau1[[#This Row],[H_Supp_100]])</f>
        <v>0</v>
      </c>
      <c r="Y23">
        <f>salaire_brut_social(Tableau1[[#This Row],[Prime]],Tableau1[[#This Row],[salaire_de_base]],Tableau1[[#This Row],[heures_supplémentaires]])</f>
        <v>302900</v>
      </c>
      <c r="Z23">
        <f>salaire_brut_fiscal(Tableau1[[#This Row],[Avantage]],Tableau1[[#This Row],[salaire_brut_social]])</f>
        <v>302900</v>
      </c>
      <c r="AA23">
        <f>regime_general(Tableau1[[#This Row],[salaire_brut_social]])</f>
        <v>16962.400000000001</v>
      </c>
      <c r="AB23">
        <f>regime_cadre(Tableau1[[#This Row],[salaire_brut_social]])</f>
        <v>0</v>
      </c>
      <c r="AC23">
        <f>TRIMF(Tableau1[[#This Row],[Etat_Civil]],Tableau1[[#This Row],[Nb_epouse]],Tableau1[[#This Row],[salaire_brut_fiscal]],Tableau1[[#This Row],[Sexe]])</f>
        <v>900</v>
      </c>
      <c r="AD23">
        <f>IR(Tableau1[[#This Row],[Etat_Civil]],Tableau1[[#This Row],[Nb_enfant]],Tableau1[[#This Row],[Nb_enfant]]+Tableau1[[#This Row],[salaire_brut_fiscal]])</f>
        <v>12037.566666666671</v>
      </c>
      <c r="AE23">
        <f>total_retenues(Tableau1[[#This Row],[Regime_general]],Tableau1[[#This Row],[Regime_cadre]],Tableau1[[#This Row],[IPM]],Tableau1[[#This Row],[TRIMF]],Tableau1[[#This Row],[IR]],Tableau1[[#This Row],[Avance_Ac]],Tableau1[[#This Row],[Opposition]])</f>
        <v>29899.966666666674</v>
      </c>
      <c r="AF23">
        <f>salaire_net(Tableau1[[#This Row],[salaire_brut_social]],Tableau1[[#This Row],[Total_retenues]])</f>
        <v>273000.03333333333</v>
      </c>
      <c r="AG23">
        <f>net_a_payer(Tableau1[[#This Row],[salaire_net]],Tableau1[[#This Row],[Indemnité]])</f>
        <v>273000.03333333333</v>
      </c>
      <c r="AJ23" s="3">
        <f>age(Tableau1[[#This Row],[Date Nais]])</f>
        <v>58</v>
      </c>
    </row>
    <row r="24" spans="1:36" x14ac:dyDescent="0.25">
      <c r="A24">
        <v>23</v>
      </c>
      <c r="B24" t="s">
        <v>135</v>
      </c>
      <c r="C24" t="s">
        <v>136</v>
      </c>
      <c r="D24" t="s">
        <v>137</v>
      </c>
      <c r="E24" s="2">
        <v>25090</v>
      </c>
      <c r="F24" t="s">
        <v>138</v>
      </c>
      <c r="G24" t="s">
        <v>32</v>
      </c>
      <c r="H24" t="s">
        <v>35</v>
      </c>
      <c r="I24" t="s">
        <v>48</v>
      </c>
      <c r="J24">
        <v>2</v>
      </c>
      <c r="K24">
        <v>5</v>
      </c>
      <c r="L24">
        <v>140</v>
      </c>
      <c r="M24">
        <v>0</v>
      </c>
      <c r="N24">
        <v>0</v>
      </c>
      <c r="O24">
        <v>3</v>
      </c>
      <c r="P24">
        <v>6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f>salaire_de_base(Tableau1[[#This Row],[Nb_hr_pointee]],Tableau1[[#This Row],[Catégorie]])</f>
        <v>193900</v>
      </c>
      <c r="X24">
        <f>heures_supplémentaires(Tableau1[[#This Row],[Catégorie]],Tableau1[[#This Row],[H_Supp_15]],Tableau1[[#This Row],[H_Supp_40]],Tableau1[[#This Row],[H_Supp_60]],Tableau1[[#This Row],[H_Supp_100]])</f>
        <v>23268</v>
      </c>
      <c r="Y24">
        <f>salaire_brut_social(Tableau1[[#This Row],[Prime]],Tableau1[[#This Row],[salaire_de_base]],Tableau1[[#This Row],[heures_supplémentaires]])</f>
        <v>217168</v>
      </c>
      <c r="Z24">
        <f>salaire_brut_fiscal(Tableau1[[#This Row],[Avantage]],Tableau1[[#This Row],[salaire_brut_social]])</f>
        <v>217168</v>
      </c>
      <c r="AA24">
        <f>regime_general(Tableau1[[#This Row],[salaire_brut_social]])</f>
        <v>12161.407999999999</v>
      </c>
      <c r="AB24">
        <f>regime_cadre(Tableau1[[#This Row],[salaire_brut_social]])</f>
        <v>0</v>
      </c>
      <c r="AC24">
        <f>TRIMF(Tableau1[[#This Row],[Etat_Civil]],Tableau1[[#This Row],[Nb_epouse]],Tableau1[[#This Row],[salaire_brut_fiscal]],Tableau1[[#This Row],[Sexe]])</f>
        <v>2700</v>
      </c>
      <c r="AD24">
        <f>IR(Tableau1[[#This Row],[Etat_Civil]],Tableau1[[#This Row],[Nb_enfant]],Tableau1[[#This Row],[Nb_enfant]]+Tableau1[[#This Row],[salaire_brut_fiscal]])</f>
        <v>0</v>
      </c>
      <c r="AE24">
        <f>total_retenues(Tableau1[[#This Row],[Regime_general]],Tableau1[[#This Row],[Regime_cadre]],Tableau1[[#This Row],[IPM]],Tableau1[[#This Row],[TRIMF]],Tableau1[[#This Row],[IR]],Tableau1[[#This Row],[Avance_Ac]],Tableau1[[#This Row],[Opposition]])</f>
        <v>14861.407999999999</v>
      </c>
      <c r="AF24">
        <f>salaire_net(Tableau1[[#This Row],[salaire_brut_social]],Tableau1[[#This Row],[Total_retenues]])</f>
        <v>202306.592</v>
      </c>
      <c r="AG24">
        <f>net_a_payer(Tableau1[[#This Row],[salaire_net]],Tableau1[[#This Row],[Indemnité]])</f>
        <v>202306.592</v>
      </c>
      <c r="AJ24" s="3">
        <f>age(Tableau1[[#This Row],[Date Nais]])</f>
        <v>52</v>
      </c>
    </row>
    <row r="25" spans="1:36" x14ac:dyDescent="0.25">
      <c r="A25">
        <v>24</v>
      </c>
      <c r="B25" t="s">
        <v>139</v>
      </c>
      <c r="C25" t="s">
        <v>140</v>
      </c>
      <c r="D25" t="s">
        <v>141</v>
      </c>
      <c r="E25" t="s">
        <v>142</v>
      </c>
      <c r="F25" t="s">
        <v>143</v>
      </c>
      <c r="G25" t="s">
        <v>32</v>
      </c>
      <c r="H25" t="s">
        <v>35</v>
      </c>
      <c r="I25" t="s">
        <v>48</v>
      </c>
      <c r="J25">
        <v>1</v>
      </c>
      <c r="K25">
        <v>0</v>
      </c>
      <c r="L25">
        <v>160</v>
      </c>
      <c r="M25">
        <v>7</v>
      </c>
      <c r="N25">
        <v>14</v>
      </c>
      <c r="O25">
        <v>2</v>
      </c>
      <c r="P25">
        <v>0</v>
      </c>
      <c r="Q25">
        <v>10000</v>
      </c>
      <c r="R25">
        <v>0</v>
      </c>
      <c r="S25">
        <v>0</v>
      </c>
      <c r="T25">
        <v>2500</v>
      </c>
      <c r="U25">
        <v>0</v>
      </c>
      <c r="V25">
        <v>0</v>
      </c>
      <c r="W25">
        <f>salaire_de_base(Tableau1[[#This Row],[Nb_hr_pointee]],Tableau1[[#This Row],[Catégorie]])</f>
        <v>221600</v>
      </c>
      <c r="X25">
        <f>heures_supplémentaires(Tableau1[[#This Row],[Catégorie]],Tableau1[[#This Row],[H_Supp_15]],Tableau1[[#This Row],[H_Supp_40]],Tableau1[[#This Row],[H_Supp_60]],Tableau1[[#This Row],[H_Supp_100]])</f>
        <v>42727.25</v>
      </c>
      <c r="Y25">
        <f>salaire_brut_social(Tableau1[[#This Row],[Prime]],Tableau1[[#This Row],[salaire_de_base]],Tableau1[[#This Row],[heures_supplémentaires]])</f>
        <v>274327.25</v>
      </c>
      <c r="Z25">
        <f>salaire_brut_fiscal(Tableau1[[#This Row],[Avantage]],Tableau1[[#This Row],[salaire_brut_social]])</f>
        <v>274327.25</v>
      </c>
      <c r="AA25">
        <f>regime_general(Tableau1[[#This Row],[salaire_brut_social]])</f>
        <v>15362.326000000001</v>
      </c>
      <c r="AB25">
        <f>regime_cadre(Tableau1[[#This Row],[salaire_brut_social]])</f>
        <v>0</v>
      </c>
      <c r="AC25">
        <f>TRIMF(Tableau1[[#This Row],[Etat_Civil]],Tableau1[[#This Row],[Nb_epouse]],Tableau1[[#This Row],[salaire_brut_fiscal]],Tableau1[[#This Row],[Sexe]])</f>
        <v>1800</v>
      </c>
      <c r="AD25">
        <f>IR(Tableau1[[#This Row],[Etat_Civil]],Tableau1[[#This Row],[Nb_enfant]],Tableau1[[#This Row],[Nb_enfant]]+Tableau1[[#This Row],[salaire_brut_fiscal]])</f>
        <v>28464.766666666666</v>
      </c>
      <c r="AE25">
        <f>total_retenues(Tableau1[[#This Row],[Regime_general]],Tableau1[[#This Row],[Regime_cadre]],Tableau1[[#This Row],[IPM]],Tableau1[[#This Row],[TRIMF]],Tableau1[[#This Row],[IR]],Tableau1[[#This Row],[Avance_Ac]],Tableau1[[#This Row],[Opposition]])</f>
        <v>48127.092666666664</v>
      </c>
      <c r="AF25">
        <f>salaire_net(Tableau1[[#This Row],[salaire_brut_social]],Tableau1[[#This Row],[Total_retenues]])</f>
        <v>226200.15733333334</v>
      </c>
      <c r="AG25">
        <f>net_a_payer(Tableau1[[#This Row],[salaire_net]],Tableau1[[#This Row],[Indemnité]])</f>
        <v>226200.15733333334</v>
      </c>
      <c r="AJ25" s="3">
        <f>age(Tableau1[[#This Row],[Date Nais]])</f>
        <v>56</v>
      </c>
    </row>
    <row r="26" spans="1:36" x14ac:dyDescent="0.25">
      <c r="A26">
        <v>25</v>
      </c>
      <c r="B26" t="s">
        <v>144</v>
      </c>
      <c r="C26" t="s">
        <v>145</v>
      </c>
      <c r="D26" t="s">
        <v>141</v>
      </c>
      <c r="E26" t="s">
        <v>146</v>
      </c>
      <c r="F26" t="s">
        <v>147</v>
      </c>
      <c r="G26" t="s">
        <v>34</v>
      </c>
      <c r="H26" t="s">
        <v>35</v>
      </c>
      <c r="I26" t="s">
        <v>54</v>
      </c>
      <c r="J26">
        <v>0</v>
      </c>
      <c r="K26">
        <v>0</v>
      </c>
      <c r="L26">
        <v>160</v>
      </c>
      <c r="M26">
        <v>0</v>
      </c>
      <c r="N26">
        <v>12</v>
      </c>
      <c r="O26">
        <v>0</v>
      </c>
      <c r="P26">
        <v>5</v>
      </c>
      <c r="Q26">
        <v>0</v>
      </c>
      <c r="R26">
        <v>0</v>
      </c>
      <c r="S26">
        <v>0</v>
      </c>
      <c r="T26">
        <v>3000</v>
      </c>
      <c r="U26">
        <v>30000</v>
      </c>
      <c r="V26">
        <v>0</v>
      </c>
      <c r="W26">
        <f>salaire_de_base(Tableau1[[#This Row],[Nb_hr_pointee]],Tableau1[[#This Row],[Catégorie]])</f>
        <v>221600</v>
      </c>
      <c r="X26">
        <f>heures_supplémentaires(Tableau1[[#This Row],[Catégorie]],Tableau1[[#This Row],[H_Supp_15]],Tableau1[[#This Row],[H_Supp_40]],Tableau1[[#This Row],[H_Supp_60]],Tableau1[[#This Row],[H_Supp_100]])</f>
        <v>37118</v>
      </c>
      <c r="Y26">
        <f>salaire_brut_social(Tableau1[[#This Row],[Prime]],Tableau1[[#This Row],[salaire_de_base]],Tableau1[[#This Row],[heures_supplémentaires]])</f>
        <v>258718</v>
      </c>
      <c r="Z26">
        <f>salaire_brut_fiscal(Tableau1[[#This Row],[Avantage]],Tableau1[[#This Row],[salaire_brut_social]])</f>
        <v>258718</v>
      </c>
      <c r="AA26">
        <f>regime_general(Tableau1[[#This Row],[salaire_brut_social]])</f>
        <v>14488.208000000001</v>
      </c>
      <c r="AB26">
        <f>regime_cadre(Tableau1[[#This Row],[salaire_brut_social]])</f>
        <v>0</v>
      </c>
      <c r="AC26">
        <f>TRIMF(Tableau1[[#This Row],[Etat_Civil]],Tableau1[[#This Row],[Nb_epouse]],Tableau1[[#This Row],[salaire_brut_fiscal]],Tableau1[[#This Row],[Sexe]])</f>
        <v>0</v>
      </c>
      <c r="AD26">
        <f>IR(Tableau1[[#This Row],[Etat_Civil]],Tableau1[[#This Row],[Nb_enfant]],Tableau1[[#This Row],[Nb_enfant]]+Tableau1[[#This Row],[salaire_brut_fiscal]])</f>
        <v>32115.399999999998</v>
      </c>
      <c r="AE26">
        <f>total_retenues(Tableau1[[#This Row],[Regime_general]],Tableau1[[#This Row],[Regime_cadre]],Tableau1[[#This Row],[IPM]],Tableau1[[#This Row],[TRIMF]],Tableau1[[#This Row],[IR]],Tableau1[[#This Row],[Avance_Ac]],Tableau1[[#This Row],[Opposition]])</f>
        <v>79603.607999999993</v>
      </c>
      <c r="AF26">
        <f>salaire_net(Tableau1[[#This Row],[salaire_brut_social]],Tableau1[[#This Row],[Total_retenues]])</f>
        <v>179114.39199999999</v>
      </c>
      <c r="AG26">
        <f>net_a_payer(Tableau1[[#This Row],[salaire_net]],Tableau1[[#This Row],[Indemnité]])</f>
        <v>179114.39199999999</v>
      </c>
      <c r="AJ26" s="3">
        <f>age(Tableau1[[#This Row],[Date Nais]])</f>
        <v>59</v>
      </c>
    </row>
    <row r="27" spans="1:36" x14ac:dyDescent="0.25">
      <c r="A27">
        <v>26</v>
      </c>
      <c r="B27" t="s">
        <v>148</v>
      </c>
      <c r="C27" t="s">
        <v>149</v>
      </c>
      <c r="D27" t="s">
        <v>150</v>
      </c>
      <c r="E27" s="2">
        <v>23326</v>
      </c>
      <c r="F27" t="s">
        <v>151</v>
      </c>
      <c r="G27" t="s">
        <v>32</v>
      </c>
      <c r="H27" t="s">
        <v>35</v>
      </c>
      <c r="I27" t="s">
        <v>54</v>
      </c>
      <c r="J27">
        <v>0</v>
      </c>
      <c r="K27">
        <v>0</v>
      </c>
      <c r="L27">
        <v>160</v>
      </c>
      <c r="M27">
        <v>6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f>salaire_de_base(Tableau1[[#This Row],[Nb_hr_pointee]],Tableau1[[#This Row],[Catégorie]])</f>
        <v>221600</v>
      </c>
      <c r="X27">
        <f>heures_supplémentaires(Tableau1[[#This Row],[Catégorie]],Tableau1[[#This Row],[H_Supp_15]],Tableau1[[#This Row],[H_Supp_40]],Tableau1[[#This Row],[H_Supp_60]],Tableau1[[#This Row],[H_Supp_100]])</f>
        <v>9556.5</v>
      </c>
      <c r="Y27">
        <f>salaire_brut_social(Tableau1[[#This Row],[Prime]],Tableau1[[#This Row],[salaire_de_base]],Tableau1[[#This Row],[heures_supplémentaires]])</f>
        <v>231156.5</v>
      </c>
      <c r="Z27">
        <f>salaire_brut_fiscal(Tableau1[[#This Row],[Avantage]],Tableau1[[#This Row],[salaire_brut_social]])</f>
        <v>231156.5</v>
      </c>
      <c r="AA27">
        <f>regime_general(Tableau1[[#This Row],[salaire_brut_social]])</f>
        <v>12944.764000000001</v>
      </c>
      <c r="AB27">
        <f>regime_cadre(Tableau1[[#This Row],[salaire_brut_social]])</f>
        <v>0</v>
      </c>
      <c r="AC27">
        <f>TRIMF(Tableau1[[#This Row],[Etat_Civil]],Tableau1[[#This Row],[Nb_epouse]],Tableau1[[#This Row],[salaire_brut_fiscal]],Tableau1[[#This Row],[Sexe]])</f>
        <v>0</v>
      </c>
      <c r="AD27">
        <f>IR(Tableau1[[#This Row],[Etat_Civil]],Tableau1[[#This Row],[Nb_enfant]],Tableau1[[#This Row],[Nb_enfant]]+Tableau1[[#This Row],[salaire_brut_fiscal]])</f>
        <v>25542.76</v>
      </c>
      <c r="AE27">
        <f>total_retenues(Tableau1[[#This Row],[Regime_general]],Tableau1[[#This Row],[Regime_cadre]],Tableau1[[#This Row],[IPM]],Tableau1[[#This Row],[TRIMF]],Tableau1[[#This Row],[IR]],Tableau1[[#This Row],[Avance_Ac]],Tableau1[[#This Row],[Opposition]])</f>
        <v>38487.523999999998</v>
      </c>
      <c r="AF27">
        <f>salaire_net(Tableau1[[#This Row],[salaire_brut_social]],Tableau1[[#This Row],[Total_retenues]])</f>
        <v>192668.976</v>
      </c>
      <c r="AG27">
        <f>net_a_payer(Tableau1[[#This Row],[salaire_net]],Tableau1[[#This Row],[Indemnité]])</f>
        <v>192668.976</v>
      </c>
      <c r="AJ27" s="3">
        <f>age(Tableau1[[#This Row],[Date Nais]])</f>
        <v>57</v>
      </c>
    </row>
    <row r="28" spans="1:36" x14ac:dyDescent="0.25">
      <c r="A28">
        <v>27</v>
      </c>
      <c r="B28" t="s">
        <v>152</v>
      </c>
      <c r="C28" t="s">
        <v>107</v>
      </c>
      <c r="D28" t="s">
        <v>153</v>
      </c>
      <c r="E28" s="2">
        <v>22258</v>
      </c>
      <c r="F28" t="s">
        <v>154</v>
      </c>
      <c r="G28" t="s">
        <v>32</v>
      </c>
      <c r="H28" t="s">
        <v>36</v>
      </c>
      <c r="I28" t="s">
        <v>54</v>
      </c>
      <c r="J28">
        <v>0</v>
      </c>
      <c r="K28">
        <v>0</v>
      </c>
      <c r="L28">
        <v>160</v>
      </c>
      <c r="M28">
        <v>6</v>
      </c>
      <c r="N28">
        <v>0</v>
      </c>
      <c r="O28">
        <v>0</v>
      </c>
      <c r="P28">
        <v>0</v>
      </c>
      <c r="Q28">
        <v>0</v>
      </c>
      <c r="R28">
        <v>15000</v>
      </c>
      <c r="S28">
        <v>0</v>
      </c>
      <c r="T28">
        <v>3000</v>
      </c>
      <c r="U28">
        <v>0</v>
      </c>
      <c r="V28">
        <v>0</v>
      </c>
      <c r="W28">
        <f>salaire_de_base(Tableau1[[#This Row],[Nb_hr_pointee]],Tableau1[[#This Row],[Catégorie]])</f>
        <v>433760</v>
      </c>
      <c r="X28">
        <f>heures_supplémentaires(Tableau1[[#This Row],[Catégorie]],Tableau1[[#This Row],[H_Supp_15]],Tableau1[[#This Row],[H_Supp_40]],Tableau1[[#This Row],[H_Supp_60]],Tableau1[[#This Row],[H_Supp_100]])</f>
        <v>18705.899999999998</v>
      </c>
      <c r="Y28">
        <f>salaire_brut_social(Tableau1[[#This Row],[Prime]],Tableau1[[#This Row],[salaire_de_base]],Tableau1[[#This Row],[heures_supplémentaires]])</f>
        <v>452465.9</v>
      </c>
      <c r="Z28">
        <f>salaire_brut_fiscal(Tableau1[[#This Row],[Avantage]],Tableau1[[#This Row],[salaire_brut_social]])</f>
        <v>467465.9</v>
      </c>
      <c r="AA28">
        <f>regime_general(Tableau1[[#This Row],[salaire_brut_social]])</f>
        <v>20160</v>
      </c>
      <c r="AB28">
        <f>regime_cadre(Tableau1[[#This Row],[salaire_brut_social]])</f>
        <v>10859.1816</v>
      </c>
      <c r="AC28">
        <f>TRIMF(Tableau1[[#This Row],[Etat_Civil]],Tableau1[[#This Row],[Nb_epouse]],Tableau1[[#This Row],[salaire_brut_fiscal]],Tableau1[[#This Row],[Sexe]])</f>
        <v>0</v>
      </c>
      <c r="AD28">
        <f>IR(Tableau1[[#This Row],[Etat_Civil]],Tableau1[[#This Row],[Nb_enfant]],Tableau1[[#This Row],[Nb_enfant]]+Tableau1[[#This Row],[salaire_brut_fiscal]])</f>
        <v>97696.433333333334</v>
      </c>
      <c r="AE28">
        <f>total_retenues(Tableau1[[#This Row],[Regime_general]],Tableau1[[#This Row],[Regime_cadre]],Tableau1[[#This Row],[IPM]],Tableau1[[#This Row],[TRIMF]],Tableau1[[#This Row],[IR]],Tableau1[[#This Row],[Avance_Ac]],Tableau1[[#This Row],[Opposition]])</f>
        <v>131715.61493333333</v>
      </c>
      <c r="AF28">
        <f>salaire_net(Tableau1[[#This Row],[salaire_brut_social]],Tableau1[[#This Row],[Total_retenues]])</f>
        <v>320750.28506666666</v>
      </c>
      <c r="AG28">
        <f>net_a_payer(Tableau1[[#This Row],[salaire_net]],Tableau1[[#This Row],[Indemnité]])</f>
        <v>320750.28506666666</v>
      </c>
      <c r="AJ28" s="3">
        <f>age(Tableau1[[#This Row],[Date Nais]])</f>
        <v>59</v>
      </c>
    </row>
    <row r="29" spans="1:36" x14ac:dyDescent="0.25">
      <c r="A29">
        <v>28</v>
      </c>
      <c r="B29" t="s">
        <v>155</v>
      </c>
      <c r="C29" t="s">
        <v>156</v>
      </c>
      <c r="D29" t="s">
        <v>157</v>
      </c>
      <c r="E29" t="s">
        <v>158</v>
      </c>
      <c r="F29" t="s">
        <v>159</v>
      </c>
      <c r="G29" t="s">
        <v>32</v>
      </c>
      <c r="H29" t="s">
        <v>33</v>
      </c>
      <c r="I29" t="s">
        <v>54</v>
      </c>
      <c r="J29">
        <v>0</v>
      </c>
      <c r="K29">
        <v>0</v>
      </c>
      <c r="L29">
        <v>160</v>
      </c>
      <c r="M29">
        <v>5</v>
      </c>
      <c r="N29">
        <v>15</v>
      </c>
      <c r="O29">
        <v>0</v>
      </c>
      <c r="P29">
        <v>5</v>
      </c>
      <c r="Q29">
        <v>0</v>
      </c>
      <c r="R29">
        <v>0</v>
      </c>
      <c r="S29">
        <v>0</v>
      </c>
      <c r="T29">
        <v>2500</v>
      </c>
      <c r="U29">
        <v>0</v>
      </c>
      <c r="V29">
        <v>0</v>
      </c>
      <c r="W29">
        <f>salaire_de_base(Tableau1[[#This Row],[Nb_hr_pointee]],Tableau1[[#This Row],[Catégorie]])</f>
        <v>323200</v>
      </c>
      <c r="X29">
        <f>heures_supplémentaires(Tableau1[[#This Row],[Catégorie]],Tableau1[[#This Row],[H_Supp_15]],Tableau1[[#This Row],[H_Supp_40]],Tableau1[[#This Row],[H_Supp_60]],Tableau1[[#This Row],[H_Supp_100]])</f>
        <v>74235</v>
      </c>
      <c r="Y29">
        <f>salaire_brut_social(Tableau1[[#This Row],[Prime]],Tableau1[[#This Row],[salaire_de_base]],Tableau1[[#This Row],[heures_supplémentaires]])</f>
        <v>397435</v>
      </c>
      <c r="Z29">
        <f>salaire_brut_fiscal(Tableau1[[#This Row],[Avantage]],Tableau1[[#This Row],[salaire_brut_social]])</f>
        <v>397435</v>
      </c>
      <c r="AA29">
        <f>regime_general(Tableau1[[#This Row],[salaire_brut_social]])</f>
        <v>20160</v>
      </c>
      <c r="AB29">
        <f>regime_cadre(Tableau1[[#This Row],[salaire_brut_social]])</f>
        <v>9538.44</v>
      </c>
      <c r="AC29">
        <f>TRIMF(Tableau1[[#This Row],[Etat_Civil]],Tableau1[[#This Row],[Nb_epouse]],Tableau1[[#This Row],[salaire_brut_fiscal]],Tableau1[[#This Row],[Sexe]])</f>
        <v>0</v>
      </c>
      <c r="AD29">
        <f>IR(Tableau1[[#This Row],[Etat_Civil]],Tableau1[[#This Row],[Nb_enfant]],Tableau1[[#This Row],[Nb_enfant]]+Tableau1[[#This Row],[salaire_brut_fiscal]])</f>
        <v>73730.5</v>
      </c>
      <c r="AE29">
        <f>total_retenues(Tableau1[[#This Row],[Regime_general]],Tableau1[[#This Row],[Regime_cadre]],Tableau1[[#This Row],[IPM]],Tableau1[[#This Row],[TRIMF]],Tableau1[[#This Row],[IR]],Tableau1[[#This Row],[Avance_Ac]],Tableau1[[#This Row],[Opposition]])</f>
        <v>105928.94</v>
      </c>
      <c r="AF29">
        <f>salaire_net(Tableau1[[#This Row],[salaire_brut_social]],Tableau1[[#This Row],[Total_retenues]])</f>
        <v>291506.06</v>
      </c>
      <c r="AG29">
        <f>net_a_payer(Tableau1[[#This Row],[salaire_net]],Tableau1[[#This Row],[Indemnité]])</f>
        <v>291506.06</v>
      </c>
      <c r="AJ29" s="3">
        <f>age(Tableau1[[#This Row],[Date Nais]])</f>
        <v>58</v>
      </c>
    </row>
    <row r="30" spans="1:36" x14ac:dyDescent="0.25">
      <c r="A30">
        <v>29</v>
      </c>
      <c r="B30" t="s">
        <v>160</v>
      </c>
      <c r="C30" t="s">
        <v>161</v>
      </c>
      <c r="D30" t="s">
        <v>162</v>
      </c>
      <c r="E30" t="s">
        <v>163</v>
      </c>
      <c r="F30" t="s">
        <v>164</v>
      </c>
      <c r="G30" t="s">
        <v>34</v>
      </c>
      <c r="H30" t="s">
        <v>33</v>
      </c>
      <c r="I30" t="s">
        <v>48</v>
      </c>
      <c r="J30">
        <v>0</v>
      </c>
      <c r="K30">
        <v>2</v>
      </c>
      <c r="L30">
        <v>160</v>
      </c>
      <c r="M30">
        <v>0</v>
      </c>
      <c r="N30">
        <v>0</v>
      </c>
      <c r="O30">
        <v>0</v>
      </c>
      <c r="P30">
        <v>7</v>
      </c>
      <c r="Q30">
        <v>10000</v>
      </c>
      <c r="R30">
        <v>17500</v>
      </c>
      <c r="S30">
        <v>0</v>
      </c>
      <c r="T30">
        <v>0</v>
      </c>
      <c r="U30">
        <v>0</v>
      </c>
      <c r="V30">
        <v>0</v>
      </c>
      <c r="W30">
        <f>salaire_de_base(Tableau1[[#This Row],[Nb_hr_pointee]],Tableau1[[#This Row],[Catégorie]])</f>
        <v>323200</v>
      </c>
      <c r="X30">
        <f>heures_supplémentaires(Tableau1[[#This Row],[Catégorie]],Tableau1[[#This Row],[H_Supp_15]],Tableau1[[#This Row],[H_Supp_40]],Tableau1[[#This Row],[H_Supp_60]],Tableau1[[#This Row],[H_Supp_100]])</f>
        <v>28280</v>
      </c>
      <c r="Y30">
        <f>salaire_brut_social(Tableau1[[#This Row],[Prime]],Tableau1[[#This Row],[salaire_de_base]],Tableau1[[#This Row],[heures_supplémentaires]])</f>
        <v>361480</v>
      </c>
      <c r="Z30">
        <f>salaire_brut_fiscal(Tableau1[[#This Row],[Avantage]],Tableau1[[#This Row],[salaire_brut_social]])</f>
        <v>378980</v>
      </c>
      <c r="AA30">
        <f>regime_general(Tableau1[[#This Row],[salaire_brut_social]])</f>
        <v>20160</v>
      </c>
      <c r="AB30">
        <f>regime_cadre(Tableau1[[#This Row],[salaire_brut_social]])</f>
        <v>8675.52</v>
      </c>
      <c r="AC30">
        <f>TRIMF(Tableau1[[#This Row],[Etat_Civil]],Tableau1[[#This Row],[Nb_epouse]],Tableau1[[#This Row],[salaire_brut_fiscal]],Tableau1[[#This Row],[Sexe]])</f>
        <v>900</v>
      </c>
      <c r="AD30">
        <f>IR(Tableau1[[#This Row],[Etat_Civil]],Tableau1[[#This Row],[Nb_enfant]],Tableau1[[#This Row],[Nb_enfant]]+Tableau1[[#This Row],[salaire_brut_fiscal]])</f>
        <v>43194.6</v>
      </c>
      <c r="AE30">
        <f>total_retenues(Tableau1[[#This Row],[Regime_general]],Tableau1[[#This Row],[Regime_cadre]],Tableau1[[#This Row],[IPM]],Tableau1[[#This Row],[TRIMF]],Tableau1[[#This Row],[IR]],Tableau1[[#This Row],[Avance_Ac]],Tableau1[[#This Row],[Opposition]])</f>
        <v>72930.12</v>
      </c>
      <c r="AF30">
        <f>salaire_net(Tableau1[[#This Row],[salaire_brut_social]],Tableau1[[#This Row],[Total_retenues]])</f>
        <v>288549.88</v>
      </c>
      <c r="AG30">
        <f>net_a_payer(Tableau1[[#This Row],[salaire_net]],Tableau1[[#This Row],[Indemnité]])</f>
        <v>288549.88</v>
      </c>
      <c r="AJ30" s="3">
        <f>age(Tableau1[[#This Row],[Date Nais]])</f>
        <v>47</v>
      </c>
    </row>
    <row r="31" spans="1:36" x14ac:dyDescent="0.25">
      <c r="A31">
        <v>30</v>
      </c>
      <c r="B31" t="s">
        <v>243</v>
      </c>
      <c r="C31" t="s">
        <v>165</v>
      </c>
      <c r="D31" t="s">
        <v>166</v>
      </c>
      <c r="E31" t="s">
        <v>167</v>
      </c>
      <c r="F31" t="s">
        <v>168</v>
      </c>
      <c r="G31" t="s">
        <v>32</v>
      </c>
      <c r="H31" t="s">
        <v>33</v>
      </c>
      <c r="I31" t="s">
        <v>48</v>
      </c>
      <c r="J31">
        <v>3</v>
      </c>
      <c r="K31">
        <v>7</v>
      </c>
      <c r="L31">
        <v>155</v>
      </c>
      <c r="M31">
        <v>8</v>
      </c>
      <c r="N31">
        <v>15</v>
      </c>
      <c r="O31">
        <v>3</v>
      </c>
      <c r="P31">
        <v>6</v>
      </c>
      <c r="Q31">
        <v>8000</v>
      </c>
      <c r="R31">
        <v>12500</v>
      </c>
      <c r="S31">
        <v>0</v>
      </c>
      <c r="T31">
        <v>3000</v>
      </c>
      <c r="U31">
        <v>12500</v>
      </c>
      <c r="V31">
        <v>0</v>
      </c>
      <c r="W31">
        <f>salaire_de_base(Tableau1[[#This Row],[Nb_hr_pointee]],Tableau1[[#This Row],[Catégorie]])</f>
        <v>313100</v>
      </c>
      <c r="X31">
        <f>heures_supplémentaires(Tableau1[[#This Row],[Catégorie]],Tableau1[[#This Row],[H_Supp_15]],Tableau1[[#This Row],[H_Supp_40]],Tableau1[[#This Row],[H_Supp_60]],Tableau1[[#This Row],[H_Supp_100]])</f>
        <v>94940</v>
      </c>
      <c r="Y31">
        <f>salaire_brut_social(Tableau1[[#This Row],[Prime]],Tableau1[[#This Row],[salaire_de_base]],Tableau1[[#This Row],[heures_supplémentaires]])</f>
        <v>416040</v>
      </c>
      <c r="Z31">
        <f>salaire_brut_fiscal(Tableau1[[#This Row],[Avantage]],Tableau1[[#This Row],[salaire_brut_social]])</f>
        <v>428540</v>
      </c>
      <c r="AA31">
        <f>regime_general(Tableau1[[#This Row],[salaire_brut_social]])</f>
        <v>20160</v>
      </c>
      <c r="AB31">
        <f>regime_cadre(Tableau1[[#This Row],[salaire_brut_social]])</f>
        <v>9984.9600000000009</v>
      </c>
      <c r="AC31">
        <f>TRIMF(Tableau1[[#This Row],[Etat_Civil]],Tableau1[[#This Row],[Nb_epouse]],Tableau1[[#This Row],[salaire_brut_fiscal]],Tableau1[[#This Row],[Sexe]])</f>
        <v>3600</v>
      </c>
      <c r="AD31">
        <f>IR(Tableau1[[#This Row],[Etat_Civil]],Tableau1[[#This Row],[Nb_enfant]],Tableau1[[#This Row],[Nb_enfant]]+Tableau1[[#This Row],[salaire_brut_fiscal]])</f>
        <v>17408.116666666669</v>
      </c>
      <c r="AE31">
        <f>total_retenues(Tableau1[[#This Row],[Regime_general]],Tableau1[[#This Row],[Regime_cadre]],Tableau1[[#This Row],[IPM]],Tableau1[[#This Row],[TRIMF]],Tableau1[[#This Row],[IR]],Tableau1[[#This Row],[Avance_Ac]],Tableau1[[#This Row],[Opposition]])</f>
        <v>66653.076666666675</v>
      </c>
      <c r="AF31">
        <f>salaire_net(Tableau1[[#This Row],[salaire_brut_social]],Tableau1[[#This Row],[Total_retenues]])</f>
        <v>349386.92333333334</v>
      </c>
      <c r="AG31">
        <f>net_a_payer(Tableau1[[#This Row],[salaire_net]],Tableau1[[#This Row],[Indemnité]])</f>
        <v>349386.92333333334</v>
      </c>
      <c r="AJ31" s="3">
        <f>age(Tableau1[[#This Row],[Date Nais]])</f>
        <v>48</v>
      </c>
    </row>
    <row r="32" spans="1:36" x14ac:dyDescent="0.25">
      <c r="A32">
        <v>31</v>
      </c>
      <c r="B32" t="s">
        <v>169</v>
      </c>
      <c r="C32" t="s">
        <v>170</v>
      </c>
      <c r="D32" t="s">
        <v>171</v>
      </c>
      <c r="E32" t="s">
        <v>172</v>
      </c>
      <c r="F32" t="s">
        <v>173</v>
      </c>
      <c r="G32" t="s">
        <v>32</v>
      </c>
      <c r="H32" t="s">
        <v>36</v>
      </c>
      <c r="I32" t="s">
        <v>48</v>
      </c>
      <c r="J32">
        <v>1</v>
      </c>
      <c r="K32">
        <v>5</v>
      </c>
      <c r="L32">
        <v>160</v>
      </c>
      <c r="M32">
        <v>0</v>
      </c>
      <c r="N32">
        <v>0</v>
      </c>
      <c r="O32">
        <v>0</v>
      </c>
      <c r="P32">
        <v>0</v>
      </c>
      <c r="Q32">
        <v>0</v>
      </c>
      <c r="R32">
        <v>10000</v>
      </c>
      <c r="S32">
        <v>20000</v>
      </c>
      <c r="T32">
        <v>0</v>
      </c>
      <c r="U32">
        <v>0</v>
      </c>
      <c r="V32">
        <v>0</v>
      </c>
      <c r="W32">
        <f>salaire_de_base(Tableau1[[#This Row],[Nb_hr_pointee]],Tableau1[[#This Row],[Catégorie]])</f>
        <v>433760</v>
      </c>
      <c r="X32">
        <f>heures_supplémentaires(Tableau1[[#This Row],[Catégorie]],Tableau1[[#This Row],[H_Supp_15]],Tableau1[[#This Row],[H_Supp_40]],Tableau1[[#This Row],[H_Supp_60]],Tableau1[[#This Row],[H_Supp_100]])</f>
        <v>0</v>
      </c>
      <c r="Y32">
        <f>salaire_brut_social(Tableau1[[#This Row],[Prime]],Tableau1[[#This Row],[salaire_de_base]],Tableau1[[#This Row],[heures_supplémentaires]])</f>
        <v>433760</v>
      </c>
      <c r="Z32">
        <f>salaire_brut_fiscal(Tableau1[[#This Row],[Avantage]],Tableau1[[#This Row],[salaire_brut_social]])</f>
        <v>443760</v>
      </c>
      <c r="AA32">
        <f>regime_general(Tableau1[[#This Row],[salaire_brut_social]])</f>
        <v>20160</v>
      </c>
      <c r="AB32">
        <f>regime_cadre(Tableau1[[#This Row],[salaire_brut_social]])</f>
        <v>10410.24</v>
      </c>
      <c r="AC32">
        <f>TRIMF(Tableau1[[#This Row],[Etat_Civil]],Tableau1[[#This Row],[Nb_epouse]],Tableau1[[#This Row],[salaire_brut_fiscal]],Tableau1[[#This Row],[Sexe]])</f>
        <v>1800</v>
      </c>
      <c r="AD32">
        <f>IR(Tableau1[[#This Row],[Etat_Civil]],Tableau1[[#This Row],[Nb_enfant]],Tableau1[[#This Row],[Nb_enfant]]+Tableau1[[#This Row],[salaire_brut_fiscal]])</f>
        <v>39401.083333333336</v>
      </c>
      <c r="AE32">
        <f>total_retenues(Tableau1[[#This Row],[Regime_general]],Tableau1[[#This Row],[Regime_cadre]],Tableau1[[#This Row],[IPM]],Tableau1[[#This Row],[TRIMF]],Tableau1[[#This Row],[IR]],Tableau1[[#This Row],[Avance_Ac]],Tableau1[[#This Row],[Opposition]])</f>
        <v>71771.323333333334</v>
      </c>
      <c r="AF32">
        <f>salaire_net(Tableau1[[#This Row],[salaire_brut_social]],Tableau1[[#This Row],[Total_retenues]])</f>
        <v>361988.67666666664</v>
      </c>
      <c r="AG32">
        <f>net_a_payer(Tableau1[[#This Row],[salaire_net]],Tableau1[[#This Row],[Indemnité]])</f>
        <v>381988.67666666664</v>
      </c>
      <c r="AJ32" s="3">
        <f>age(Tableau1[[#This Row],[Date Nais]])</f>
        <v>48</v>
      </c>
    </row>
    <row r="33" spans="1:36" x14ac:dyDescent="0.25">
      <c r="A33">
        <v>32</v>
      </c>
      <c r="B33" t="s">
        <v>174</v>
      </c>
      <c r="C33" t="s">
        <v>175</v>
      </c>
      <c r="D33" t="s">
        <v>176</v>
      </c>
      <c r="E33" t="s">
        <v>177</v>
      </c>
      <c r="F33" t="s">
        <v>178</v>
      </c>
      <c r="G33" t="s">
        <v>32</v>
      </c>
      <c r="H33" t="s">
        <v>33</v>
      </c>
      <c r="I33" t="s">
        <v>48</v>
      </c>
      <c r="J33">
        <v>1</v>
      </c>
      <c r="K33">
        <v>3</v>
      </c>
      <c r="L33">
        <v>160</v>
      </c>
      <c r="M33">
        <v>10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3000</v>
      </c>
      <c r="U33">
        <v>0</v>
      </c>
      <c r="V33">
        <v>0</v>
      </c>
      <c r="W33">
        <f>salaire_de_base(Tableau1[[#This Row],[Nb_hr_pointee]],Tableau1[[#This Row],[Catégorie]])</f>
        <v>323200</v>
      </c>
      <c r="X33">
        <f>heures_supplémentaires(Tableau1[[#This Row],[Catégorie]],Tableau1[[#This Row],[H_Supp_15]],Tableau1[[#This Row],[H_Supp_40]],Tableau1[[#This Row],[H_Supp_60]],Tableau1[[#This Row],[H_Supp_100]])</f>
        <v>23230</v>
      </c>
      <c r="Y33">
        <f>salaire_brut_social(Tableau1[[#This Row],[Prime]],Tableau1[[#This Row],[salaire_de_base]],Tableau1[[#This Row],[heures_supplémentaires]])</f>
        <v>346430</v>
      </c>
      <c r="Z33">
        <f>salaire_brut_fiscal(Tableau1[[#This Row],[Avantage]],Tableau1[[#This Row],[salaire_brut_social]])</f>
        <v>346430</v>
      </c>
      <c r="AA33">
        <f>regime_general(Tableau1[[#This Row],[salaire_brut_social]])</f>
        <v>19400.080000000002</v>
      </c>
      <c r="AB33">
        <f>regime_cadre(Tableau1[[#This Row],[salaire_brut_social]])</f>
        <v>0</v>
      </c>
      <c r="AC33">
        <f>TRIMF(Tableau1[[#This Row],[Etat_Civil]],Tableau1[[#This Row],[Nb_epouse]],Tableau1[[#This Row],[salaire_brut_fiscal]],Tableau1[[#This Row],[Sexe]])</f>
        <v>1800</v>
      </c>
      <c r="AD33">
        <f>IR(Tableau1[[#This Row],[Etat_Civil]],Tableau1[[#This Row],[Nb_enfant]],Tableau1[[#This Row],[Nb_enfant]]+Tableau1[[#This Row],[salaire_brut_fiscal]])</f>
        <v>25096.566666666662</v>
      </c>
      <c r="AE33">
        <f>total_retenues(Tableau1[[#This Row],[Regime_general]],Tableau1[[#This Row],[Regime_cadre]],Tableau1[[#This Row],[IPM]],Tableau1[[#This Row],[TRIMF]],Tableau1[[#This Row],[IR]],Tableau1[[#This Row],[Avance_Ac]],Tableau1[[#This Row],[Opposition]])</f>
        <v>49296.646666666667</v>
      </c>
      <c r="AF33">
        <f>salaire_net(Tableau1[[#This Row],[salaire_brut_social]],Tableau1[[#This Row],[Total_retenues]])</f>
        <v>297133.35333333333</v>
      </c>
      <c r="AG33">
        <f>net_a_payer(Tableau1[[#This Row],[salaire_net]],Tableau1[[#This Row],[Indemnité]])</f>
        <v>297133.35333333333</v>
      </c>
      <c r="AJ33" s="3">
        <f>age(Tableau1[[#This Row],[Date Nais]])</f>
        <v>48</v>
      </c>
    </row>
    <row r="34" spans="1:36" x14ac:dyDescent="0.25">
      <c r="A34">
        <v>33</v>
      </c>
      <c r="B34" t="s">
        <v>179</v>
      </c>
      <c r="C34" t="s">
        <v>180</v>
      </c>
      <c r="D34" t="s">
        <v>181</v>
      </c>
      <c r="E34" t="s">
        <v>182</v>
      </c>
      <c r="F34" t="s">
        <v>183</v>
      </c>
      <c r="G34" t="s">
        <v>32</v>
      </c>
      <c r="H34" t="s">
        <v>33</v>
      </c>
      <c r="I34" t="s">
        <v>48</v>
      </c>
      <c r="J34">
        <v>1</v>
      </c>
      <c r="K34">
        <v>4</v>
      </c>
      <c r="L34">
        <v>160</v>
      </c>
      <c r="M34">
        <v>0</v>
      </c>
      <c r="N34">
        <v>0</v>
      </c>
      <c r="O34">
        <v>0</v>
      </c>
      <c r="P34">
        <v>6</v>
      </c>
      <c r="Q34">
        <v>7500</v>
      </c>
      <c r="R34">
        <v>0</v>
      </c>
      <c r="S34">
        <v>0</v>
      </c>
      <c r="T34">
        <v>3000</v>
      </c>
      <c r="U34">
        <v>0</v>
      </c>
      <c r="V34">
        <v>0</v>
      </c>
      <c r="W34">
        <f>salaire_de_base(Tableau1[[#This Row],[Nb_hr_pointee]],Tableau1[[#This Row],[Catégorie]])</f>
        <v>323200</v>
      </c>
      <c r="X34">
        <f>heures_supplémentaires(Tableau1[[#This Row],[Catégorie]],Tableau1[[#This Row],[H_Supp_15]],Tableau1[[#This Row],[H_Supp_40]],Tableau1[[#This Row],[H_Supp_60]],Tableau1[[#This Row],[H_Supp_100]])</f>
        <v>24240</v>
      </c>
      <c r="Y34">
        <f>salaire_brut_social(Tableau1[[#This Row],[Prime]],Tableau1[[#This Row],[salaire_de_base]],Tableau1[[#This Row],[heures_supplémentaires]])</f>
        <v>354940</v>
      </c>
      <c r="Z34">
        <f>salaire_brut_fiscal(Tableau1[[#This Row],[Avantage]],Tableau1[[#This Row],[salaire_brut_social]])</f>
        <v>354940</v>
      </c>
      <c r="AA34">
        <f>regime_general(Tableau1[[#This Row],[salaire_brut_social]])</f>
        <v>19876.64</v>
      </c>
      <c r="AB34">
        <f>regime_cadre(Tableau1[[#This Row],[salaire_brut_social]])</f>
        <v>0</v>
      </c>
      <c r="AC34">
        <f>TRIMF(Tableau1[[#This Row],[Etat_Civil]],Tableau1[[#This Row],[Nb_epouse]],Tableau1[[#This Row],[salaire_brut_fiscal]],Tableau1[[#This Row],[Sexe]])</f>
        <v>1800</v>
      </c>
      <c r="AD34">
        <f>IR(Tableau1[[#This Row],[Etat_Civil]],Tableau1[[#This Row],[Nb_enfant]],Tableau1[[#This Row],[Nb_enfant]]+Tableau1[[#This Row],[salaire_brut_fiscal]])</f>
        <v>19316.533333333336</v>
      </c>
      <c r="AE34">
        <f>total_retenues(Tableau1[[#This Row],[Regime_general]],Tableau1[[#This Row],[Regime_cadre]],Tableau1[[#This Row],[IPM]],Tableau1[[#This Row],[TRIMF]],Tableau1[[#This Row],[IR]],Tableau1[[#This Row],[Avance_Ac]],Tableau1[[#This Row],[Opposition]])</f>
        <v>43993.17333333334</v>
      </c>
      <c r="AF34">
        <f>salaire_net(Tableau1[[#This Row],[salaire_brut_social]],Tableau1[[#This Row],[Total_retenues]])</f>
        <v>310946.82666666666</v>
      </c>
      <c r="AG34">
        <f>net_a_payer(Tableau1[[#This Row],[salaire_net]],Tableau1[[#This Row],[Indemnité]])</f>
        <v>310946.82666666666</v>
      </c>
      <c r="AJ34" s="3">
        <f>age(Tableau1[[#This Row],[Date Nais]])</f>
        <v>57</v>
      </c>
    </row>
    <row r="35" spans="1:36" x14ac:dyDescent="0.25">
      <c r="A35">
        <v>34</v>
      </c>
      <c r="B35" t="s">
        <v>184</v>
      </c>
      <c r="C35" t="s">
        <v>185</v>
      </c>
      <c r="D35" t="s">
        <v>186</v>
      </c>
      <c r="E35" s="2">
        <v>26550</v>
      </c>
      <c r="F35" t="s">
        <v>187</v>
      </c>
      <c r="G35" t="s">
        <v>34</v>
      </c>
      <c r="H35" t="s">
        <v>33</v>
      </c>
      <c r="I35" t="s">
        <v>48</v>
      </c>
      <c r="J35">
        <v>0</v>
      </c>
      <c r="K35">
        <v>2</v>
      </c>
      <c r="L35">
        <v>160</v>
      </c>
      <c r="M35">
        <v>8</v>
      </c>
      <c r="N35">
        <v>0</v>
      </c>
      <c r="O35">
        <v>0</v>
      </c>
      <c r="P35">
        <v>0</v>
      </c>
      <c r="Q35">
        <v>8000</v>
      </c>
      <c r="R35">
        <v>14500</v>
      </c>
      <c r="S35">
        <v>25000</v>
      </c>
      <c r="T35">
        <v>0</v>
      </c>
      <c r="U35">
        <v>10000</v>
      </c>
      <c r="V35">
        <v>0</v>
      </c>
      <c r="W35">
        <f>salaire_de_base(Tableau1[[#This Row],[Nb_hr_pointee]],Tableau1[[#This Row],[Catégorie]])</f>
        <v>323200</v>
      </c>
      <c r="X35">
        <f>heures_supplémentaires(Tableau1[[#This Row],[Catégorie]],Tableau1[[#This Row],[H_Supp_15]],Tableau1[[#This Row],[H_Supp_40]],Tableau1[[#This Row],[H_Supp_60]],Tableau1[[#This Row],[H_Supp_100]])</f>
        <v>18584</v>
      </c>
      <c r="Y35">
        <f>salaire_brut_social(Tableau1[[#This Row],[Prime]],Tableau1[[#This Row],[salaire_de_base]],Tableau1[[#This Row],[heures_supplémentaires]])</f>
        <v>349784</v>
      </c>
      <c r="Z35">
        <f>salaire_brut_fiscal(Tableau1[[#This Row],[Avantage]],Tableau1[[#This Row],[salaire_brut_social]])</f>
        <v>364284</v>
      </c>
      <c r="AA35">
        <f>regime_general(Tableau1[[#This Row],[salaire_brut_social]])</f>
        <v>19587.903999999999</v>
      </c>
      <c r="AB35">
        <f>regime_cadre(Tableau1[[#This Row],[salaire_brut_social]])</f>
        <v>0</v>
      </c>
      <c r="AC35">
        <f>TRIMF(Tableau1[[#This Row],[Etat_Civil]],Tableau1[[#This Row],[Nb_epouse]],Tableau1[[#This Row],[salaire_brut_fiscal]],Tableau1[[#This Row],[Sexe]])</f>
        <v>900</v>
      </c>
      <c r="AD35">
        <f>IR(Tableau1[[#This Row],[Etat_Civil]],Tableau1[[#This Row],[Nb_enfant]],Tableau1[[#This Row],[Nb_enfant]]+Tableau1[[#This Row],[salaire_brut_fiscal]])</f>
        <v>38785.799999999996</v>
      </c>
      <c r="AE35">
        <f>total_retenues(Tableau1[[#This Row],[Regime_general]],Tableau1[[#This Row],[Regime_cadre]],Tableau1[[#This Row],[IPM]],Tableau1[[#This Row],[TRIMF]],Tableau1[[#This Row],[IR]],Tableau1[[#This Row],[Avance_Ac]],Tableau1[[#This Row],[Opposition]])</f>
        <v>69273.703999999998</v>
      </c>
      <c r="AF35">
        <f>salaire_net(Tableau1[[#This Row],[salaire_brut_social]],Tableau1[[#This Row],[Total_retenues]])</f>
        <v>280510.29599999997</v>
      </c>
      <c r="AG35">
        <f>net_a_payer(Tableau1[[#This Row],[salaire_net]],Tableau1[[#This Row],[Indemnité]])</f>
        <v>305510.29599999997</v>
      </c>
      <c r="AJ35" s="3">
        <f>age(Tableau1[[#This Row],[Date Nais]])</f>
        <v>48</v>
      </c>
    </row>
    <row r="36" spans="1:36" x14ac:dyDescent="0.25">
      <c r="A36">
        <v>35</v>
      </c>
      <c r="B36" t="s">
        <v>188</v>
      </c>
      <c r="C36" t="s">
        <v>189</v>
      </c>
      <c r="D36" t="s">
        <v>190</v>
      </c>
      <c r="E36" s="2">
        <v>23104</v>
      </c>
      <c r="F36" t="s">
        <v>191</v>
      </c>
      <c r="G36" t="s">
        <v>32</v>
      </c>
      <c r="H36" t="s">
        <v>33</v>
      </c>
      <c r="I36" t="s">
        <v>48</v>
      </c>
      <c r="J36">
        <v>2</v>
      </c>
      <c r="K36">
        <v>4</v>
      </c>
      <c r="L36">
        <v>145</v>
      </c>
      <c r="M36">
        <v>0</v>
      </c>
      <c r="N36">
        <v>14</v>
      </c>
      <c r="O36">
        <v>0</v>
      </c>
      <c r="P36">
        <v>6</v>
      </c>
      <c r="Q36">
        <v>10000</v>
      </c>
      <c r="R36">
        <v>0</v>
      </c>
      <c r="S36">
        <v>0</v>
      </c>
      <c r="T36">
        <v>0</v>
      </c>
      <c r="U36">
        <v>0</v>
      </c>
      <c r="V36">
        <v>0</v>
      </c>
      <c r="W36">
        <f>salaire_de_base(Tableau1[[#This Row],[Nb_hr_pointee]],Tableau1[[#This Row],[Catégorie]])</f>
        <v>292900</v>
      </c>
      <c r="X36">
        <f>heures_supplémentaires(Tableau1[[#This Row],[Catégorie]],Tableau1[[#This Row],[H_Supp_15]],Tableau1[[#This Row],[H_Supp_40]],Tableau1[[#This Row],[H_Supp_60]],Tableau1[[#This Row],[H_Supp_100]])</f>
        <v>63832</v>
      </c>
      <c r="Y36">
        <f>salaire_brut_social(Tableau1[[#This Row],[Prime]],Tableau1[[#This Row],[salaire_de_base]],Tableau1[[#This Row],[heures_supplémentaires]])</f>
        <v>366732</v>
      </c>
      <c r="Z36">
        <f>salaire_brut_fiscal(Tableau1[[#This Row],[Avantage]],Tableau1[[#This Row],[salaire_brut_social]])</f>
        <v>366732</v>
      </c>
      <c r="AA36">
        <f>regime_general(Tableau1[[#This Row],[salaire_brut_social]])</f>
        <v>20160</v>
      </c>
      <c r="AB36">
        <f>regime_cadre(Tableau1[[#This Row],[salaire_brut_social]])</f>
        <v>8801.5679999999993</v>
      </c>
      <c r="AC36">
        <f>TRIMF(Tableau1[[#This Row],[Etat_Civil]],Tableau1[[#This Row],[Nb_epouse]],Tableau1[[#This Row],[salaire_brut_fiscal]],Tableau1[[#This Row],[Sexe]])</f>
        <v>2700</v>
      </c>
      <c r="AD36">
        <f>IR(Tableau1[[#This Row],[Etat_Civil]],Tableau1[[#This Row],[Nb_enfant]],Tableau1[[#This Row],[Nb_enfant]]+Tableau1[[#This Row],[salaire_brut_fiscal]])</f>
        <v>22854.133333333331</v>
      </c>
      <c r="AE36">
        <f>total_retenues(Tableau1[[#This Row],[Regime_general]],Tableau1[[#This Row],[Regime_cadre]],Tableau1[[#This Row],[IPM]],Tableau1[[#This Row],[TRIMF]],Tableau1[[#This Row],[IR]],Tableau1[[#This Row],[Avance_Ac]],Tableau1[[#This Row],[Opposition]])</f>
        <v>54515.701333333331</v>
      </c>
      <c r="AF36">
        <f>salaire_net(Tableau1[[#This Row],[salaire_brut_social]],Tableau1[[#This Row],[Total_retenues]])</f>
        <v>312216.29866666667</v>
      </c>
      <c r="AG36">
        <f>net_a_payer(Tableau1[[#This Row],[salaire_net]],Tableau1[[#This Row],[Indemnité]])</f>
        <v>312216.29866666667</v>
      </c>
      <c r="AJ36" s="3">
        <f>age(Tableau1[[#This Row],[Date Nais]])</f>
        <v>57</v>
      </c>
    </row>
    <row r="37" spans="1:36" x14ac:dyDescent="0.25">
      <c r="A37">
        <v>36</v>
      </c>
      <c r="B37" t="s">
        <v>192</v>
      </c>
      <c r="C37" t="s">
        <v>193</v>
      </c>
      <c r="D37" t="s">
        <v>194</v>
      </c>
      <c r="E37" t="s">
        <v>195</v>
      </c>
      <c r="F37" t="s">
        <v>196</v>
      </c>
      <c r="G37" t="s">
        <v>32</v>
      </c>
      <c r="H37" t="s">
        <v>33</v>
      </c>
      <c r="I37" t="s">
        <v>48</v>
      </c>
      <c r="J37">
        <v>1</v>
      </c>
      <c r="K37">
        <v>6</v>
      </c>
      <c r="L37">
        <v>148</v>
      </c>
      <c r="M37">
        <v>0</v>
      </c>
      <c r="N37">
        <v>10</v>
      </c>
      <c r="O37">
        <v>0</v>
      </c>
      <c r="P37">
        <v>7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f>salaire_de_base(Tableau1[[#This Row],[Nb_hr_pointee]],Tableau1[[#This Row],[Catégorie]])</f>
        <v>298960</v>
      </c>
      <c r="X37">
        <f>heures_supplémentaires(Tableau1[[#This Row],[Catégorie]],Tableau1[[#This Row],[H_Supp_15]],Tableau1[[#This Row],[H_Supp_40]],Tableau1[[#This Row],[H_Supp_60]],Tableau1[[#This Row],[H_Supp_100]])</f>
        <v>56560</v>
      </c>
      <c r="Y37">
        <f>salaire_brut_social(Tableau1[[#This Row],[Prime]],Tableau1[[#This Row],[salaire_de_base]],Tableau1[[#This Row],[heures_supplémentaires]])</f>
        <v>355520</v>
      </c>
      <c r="Z37">
        <f>salaire_brut_fiscal(Tableau1[[#This Row],[Avantage]],Tableau1[[#This Row],[salaire_brut_social]])</f>
        <v>355520</v>
      </c>
      <c r="AA37">
        <f>regime_general(Tableau1[[#This Row],[salaire_brut_social]])</f>
        <v>19909.12</v>
      </c>
      <c r="AB37">
        <f>regime_cadre(Tableau1[[#This Row],[salaire_brut_social]])</f>
        <v>0</v>
      </c>
      <c r="AC37">
        <f>TRIMF(Tableau1[[#This Row],[Etat_Civil]],Tableau1[[#This Row],[Nb_epouse]],Tableau1[[#This Row],[salaire_brut_fiscal]],Tableau1[[#This Row],[Sexe]])</f>
        <v>1800</v>
      </c>
      <c r="AD37">
        <f>IR(Tableau1[[#This Row],[Etat_Civil]],Tableau1[[#This Row],[Nb_enfant]],Tableau1[[#This Row],[Nb_enfant]]+Tableau1[[#This Row],[salaire_brut_fiscal]])</f>
        <v>2824.4666666666649</v>
      </c>
      <c r="AE37">
        <f>total_retenues(Tableau1[[#This Row],[Regime_general]],Tableau1[[#This Row],[Regime_cadre]],Tableau1[[#This Row],[IPM]],Tableau1[[#This Row],[TRIMF]],Tableau1[[#This Row],[IR]],Tableau1[[#This Row],[Avance_Ac]],Tableau1[[#This Row],[Opposition]])</f>
        <v>24533.586666666662</v>
      </c>
      <c r="AF37">
        <f>salaire_net(Tableau1[[#This Row],[salaire_brut_social]],Tableau1[[#This Row],[Total_retenues]])</f>
        <v>330986.41333333333</v>
      </c>
      <c r="AG37">
        <f>net_a_payer(Tableau1[[#This Row],[salaire_net]],Tableau1[[#This Row],[Indemnité]])</f>
        <v>330986.41333333333</v>
      </c>
      <c r="AJ37" s="3">
        <f>age(Tableau1[[#This Row],[Date Nais]])</f>
        <v>58</v>
      </c>
    </row>
    <row r="38" spans="1:36" x14ac:dyDescent="0.25">
      <c r="A38">
        <v>37</v>
      </c>
      <c r="B38" t="s">
        <v>197</v>
      </c>
      <c r="C38" t="s">
        <v>176</v>
      </c>
      <c r="D38" t="s">
        <v>198</v>
      </c>
      <c r="E38" s="2">
        <v>23651</v>
      </c>
      <c r="F38" t="s">
        <v>88</v>
      </c>
      <c r="G38" t="s">
        <v>32</v>
      </c>
      <c r="H38" t="s">
        <v>35</v>
      </c>
      <c r="I38" t="s">
        <v>54</v>
      </c>
      <c r="J38">
        <v>0</v>
      </c>
      <c r="K38">
        <v>0</v>
      </c>
      <c r="L38">
        <v>160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3000</v>
      </c>
      <c r="U38">
        <v>0</v>
      </c>
      <c r="V38">
        <v>0</v>
      </c>
      <c r="W38">
        <f>salaire_de_base(Tableau1[[#This Row],[Nb_hr_pointee]],Tableau1[[#This Row],[Catégorie]])</f>
        <v>221600</v>
      </c>
      <c r="X38">
        <f>heures_supplémentaires(Tableau1[[#This Row],[Catégorie]],Tableau1[[#This Row],[H_Supp_15]],Tableau1[[#This Row],[H_Supp_40]],Tableau1[[#This Row],[H_Supp_60]],Tableau1[[#This Row],[H_Supp_100]])</f>
        <v>0</v>
      </c>
      <c r="Y38">
        <f>salaire_brut_social(Tableau1[[#This Row],[Prime]],Tableau1[[#This Row],[salaire_de_base]],Tableau1[[#This Row],[heures_supplémentaires]])</f>
        <v>221600</v>
      </c>
      <c r="Z38">
        <f>salaire_brut_fiscal(Tableau1[[#This Row],[Avantage]],Tableau1[[#This Row],[salaire_brut_social]])</f>
        <v>221600</v>
      </c>
      <c r="AA38">
        <f>regime_general(Tableau1[[#This Row],[salaire_brut_social]])</f>
        <v>12409.6</v>
      </c>
      <c r="AB38">
        <f>regime_cadre(Tableau1[[#This Row],[salaire_brut_social]])</f>
        <v>0</v>
      </c>
      <c r="AC38">
        <f>TRIMF(Tableau1[[#This Row],[Etat_Civil]],Tableau1[[#This Row],[Nb_epouse]],Tableau1[[#This Row],[salaire_brut_fiscal]],Tableau1[[#This Row],[Sexe]])</f>
        <v>0</v>
      </c>
      <c r="AD38">
        <f>IR(Tableau1[[#This Row],[Etat_Civil]],Tableau1[[#This Row],[Nb_enfant]],Tableau1[[#This Row],[Nb_enfant]]+Tableau1[[#This Row],[salaire_brut_fiscal]])</f>
        <v>23536</v>
      </c>
      <c r="AE38">
        <f>total_retenues(Tableau1[[#This Row],[Regime_general]],Tableau1[[#This Row],[Regime_cadre]],Tableau1[[#This Row],[IPM]],Tableau1[[#This Row],[TRIMF]],Tableau1[[#This Row],[IR]],Tableau1[[#This Row],[Avance_Ac]],Tableau1[[#This Row],[Opposition]])</f>
        <v>38945.599999999999</v>
      </c>
      <c r="AF38">
        <f>salaire_net(Tableau1[[#This Row],[salaire_brut_social]],Tableau1[[#This Row],[Total_retenues]])</f>
        <v>182654.4</v>
      </c>
      <c r="AG38">
        <f>net_a_payer(Tableau1[[#This Row],[salaire_net]],Tableau1[[#This Row],[Indemnité]])</f>
        <v>182654.4</v>
      </c>
      <c r="AJ38" s="3">
        <f>age(Tableau1[[#This Row],[Date Nais]])</f>
        <v>56</v>
      </c>
    </row>
    <row r="39" spans="1:36" x14ac:dyDescent="0.25">
      <c r="A39">
        <v>38</v>
      </c>
      <c r="B39" t="s">
        <v>244</v>
      </c>
      <c r="C39" t="s">
        <v>199</v>
      </c>
      <c r="D39" t="s">
        <v>198</v>
      </c>
      <c r="E39" t="s">
        <v>200</v>
      </c>
      <c r="F39" t="s">
        <v>92</v>
      </c>
      <c r="G39" t="s">
        <v>32</v>
      </c>
      <c r="H39" t="s">
        <v>35</v>
      </c>
      <c r="I39" t="s">
        <v>54</v>
      </c>
      <c r="J39">
        <v>0</v>
      </c>
      <c r="K39">
        <v>0</v>
      </c>
      <c r="L39">
        <v>160</v>
      </c>
      <c r="M39">
        <v>0</v>
      </c>
      <c r="N39">
        <v>6</v>
      </c>
      <c r="O39">
        <v>0</v>
      </c>
      <c r="P39">
        <v>7</v>
      </c>
      <c r="Q39">
        <v>10000</v>
      </c>
      <c r="R39">
        <v>15000</v>
      </c>
      <c r="S39">
        <v>0</v>
      </c>
      <c r="T39">
        <v>0</v>
      </c>
      <c r="U39">
        <v>10000</v>
      </c>
      <c r="V39">
        <v>0</v>
      </c>
      <c r="W39">
        <f>salaire_de_base(Tableau1[[#This Row],[Nb_hr_pointee]],Tableau1[[#This Row],[Catégorie]])</f>
        <v>221600</v>
      </c>
      <c r="X39">
        <f>heures_supplémentaires(Tableau1[[#This Row],[Catégorie]],Tableau1[[#This Row],[H_Supp_15]],Tableau1[[#This Row],[H_Supp_40]],Tableau1[[#This Row],[H_Supp_60]],Tableau1[[#This Row],[H_Supp_100]])</f>
        <v>31024</v>
      </c>
      <c r="Y39">
        <f>salaire_brut_social(Tableau1[[#This Row],[Prime]],Tableau1[[#This Row],[salaire_de_base]],Tableau1[[#This Row],[heures_supplémentaires]])</f>
        <v>262624</v>
      </c>
      <c r="Z39">
        <f>salaire_brut_fiscal(Tableau1[[#This Row],[Avantage]],Tableau1[[#This Row],[salaire_brut_social]])</f>
        <v>277624</v>
      </c>
      <c r="AA39">
        <f>regime_general(Tableau1[[#This Row],[salaire_brut_social]])</f>
        <v>14706.944</v>
      </c>
      <c r="AB39">
        <f>regime_cadre(Tableau1[[#This Row],[salaire_brut_social]])</f>
        <v>0</v>
      </c>
      <c r="AC39">
        <f>TRIMF(Tableau1[[#This Row],[Etat_Civil]],Tableau1[[#This Row],[Nb_epouse]],Tableau1[[#This Row],[salaire_brut_fiscal]],Tableau1[[#This Row],[Sexe]])</f>
        <v>0</v>
      </c>
      <c r="AD39">
        <f>IR(Tableau1[[#This Row],[Etat_Civil]],Tableau1[[#This Row],[Nb_enfant]],Tableau1[[#This Row],[Nb_enfant]]+Tableau1[[#This Row],[salaire_brut_fiscal]])</f>
        <v>37787.199999999997</v>
      </c>
      <c r="AE39">
        <f>total_retenues(Tableau1[[#This Row],[Regime_general]],Tableau1[[#This Row],[Regime_cadre]],Tableau1[[#This Row],[IPM]],Tableau1[[#This Row],[TRIMF]],Tableau1[[#This Row],[IR]],Tableau1[[#This Row],[Avance_Ac]],Tableau1[[#This Row],[Opposition]])</f>
        <v>62494.144</v>
      </c>
      <c r="AF39">
        <f>salaire_net(Tableau1[[#This Row],[salaire_brut_social]],Tableau1[[#This Row],[Total_retenues]])</f>
        <v>200129.856</v>
      </c>
      <c r="AG39">
        <f>net_a_payer(Tableau1[[#This Row],[salaire_net]],Tableau1[[#This Row],[Indemnité]])</f>
        <v>200129.856</v>
      </c>
      <c r="AJ39" s="3">
        <f>age(Tableau1[[#This Row],[Date Nais]])</f>
        <v>50</v>
      </c>
    </row>
    <row r="40" spans="1:36" x14ac:dyDescent="0.25">
      <c r="A40">
        <v>39</v>
      </c>
      <c r="B40" t="s">
        <v>201</v>
      </c>
      <c r="C40" t="s">
        <v>202</v>
      </c>
      <c r="D40" t="s">
        <v>203</v>
      </c>
      <c r="E40" t="s">
        <v>204</v>
      </c>
      <c r="F40" t="s">
        <v>72</v>
      </c>
      <c r="G40" t="s">
        <v>34</v>
      </c>
      <c r="H40" t="s">
        <v>35</v>
      </c>
      <c r="I40" t="s">
        <v>54</v>
      </c>
      <c r="J40">
        <v>0</v>
      </c>
      <c r="K40">
        <v>0</v>
      </c>
      <c r="L40">
        <v>160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2500</v>
      </c>
      <c r="U40">
        <v>0</v>
      </c>
      <c r="V40">
        <v>0</v>
      </c>
      <c r="W40">
        <f>salaire_de_base(Tableau1[[#This Row],[Nb_hr_pointee]],Tableau1[[#This Row],[Catégorie]])</f>
        <v>221600</v>
      </c>
      <c r="X40">
        <f>heures_supplémentaires(Tableau1[[#This Row],[Catégorie]],Tableau1[[#This Row],[H_Supp_15]],Tableau1[[#This Row],[H_Supp_40]],Tableau1[[#This Row],[H_Supp_60]],Tableau1[[#This Row],[H_Supp_100]])</f>
        <v>0</v>
      </c>
      <c r="Y40">
        <f>salaire_brut_social(Tableau1[[#This Row],[Prime]],Tableau1[[#This Row],[salaire_de_base]],Tableau1[[#This Row],[heures_supplémentaires]])</f>
        <v>221600</v>
      </c>
      <c r="Z40">
        <f>salaire_brut_fiscal(Tableau1[[#This Row],[Avantage]],Tableau1[[#This Row],[salaire_brut_social]])</f>
        <v>221600</v>
      </c>
      <c r="AA40">
        <f>regime_general(Tableau1[[#This Row],[salaire_brut_social]])</f>
        <v>12409.6</v>
      </c>
      <c r="AB40">
        <f>regime_cadre(Tableau1[[#This Row],[salaire_brut_social]])</f>
        <v>0</v>
      </c>
      <c r="AC40">
        <f>TRIMF(Tableau1[[#This Row],[Etat_Civil]],Tableau1[[#This Row],[Nb_epouse]],Tableau1[[#This Row],[salaire_brut_fiscal]],Tableau1[[#This Row],[Sexe]])</f>
        <v>0</v>
      </c>
      <c r="AD40">
        <f>IR(Tableau1[[#This Row],[Etat_Civil]],Tableau1[[#This Row],[Nb_enfant]],Tableau1[[#This Row],[Nb_enfant]]+Tableau1[[#This Row],[salaire_brut_fiscal]])</f>
        <v>23536</v>
      </c>
      <c r="AE40">
        <f>total_retenues(Tableau1[[#This Row],[Regime_general]],Tableau1[[#This Row],[Regime_cadre]],Tableau1[[#This Row],[IPM]],Tableau1[[#This Row],[TRIMF]],Tableau1[[#This Row],[IR]],Tableau1[[#This Row],[Avance_Ac]],Tableau1[[#This Row],[Opposition]])</f>
        <v>38445.599999999999</v>
      </c>
      <c r="AF40">
        <f>salaire_net(Tableau1[[#This Row],[salaire_brut_social]],Tableau1[[#This Row],[Total_retenues]])</f>
        <v>183154.4</v>
      </c>
      <c r="AG40">
        <f>net_a_payer(Tableau1[[#This Row],[salaire_net]],Tableau1[[#This Row],[Indemnité]])</f>
        <v>183154.4</v>
      </c>
      <c r="AJ40" s="3">
        <f>age(Tableau1[[#This Row],[Date Nais]])</f>
        <v>48</v>
      </c>
    </row>
    <row r="41" spans="1:36" x14ac:dyDescent="0.25">
      <c r="A41">
        <v>40</v>
      </c>
      <c r="B41" t="s">
        <v>205</v>
      </c>
      <c r="C41" t="s">
        <v>206</v>
      </c>
      <c r="D41" t="s">
        <v>203</v>
      </c>
      <c r="E41" t="s">
        <v>204</v>
      </c>
      <c r="F41" t="s">
        <v>64</v>
      </c>
      <c r="G41" t="s">
        <v>34</v>
      </c>
      <c r="H41" t="s">
        <v>35</v>
      </c>
      <c r="I41" t="s">
        <v>54</v>
      </c>
      <c r="J41">
        <v>0</v>
      </c>
      <c r="K41">
        <v>0</v>
      </c>
      <c r="L41">
        <v>148</v>
      </c>
      <c r="M41">
        <v>0</v>
      </c>
      <c r="N41">
        <v>15</v>
      </c>
      <c r="O41">
        <v>0</v>
      </c>
      <c r="P41">
        <v>0</v>
      </c>
      <c r="Q41">
        <v>0</v>
      </c>
      <c r="R41">
        <v>0</v>
      </c>
      <c r="S41">
        <v>0</v>
      </c>
      <c r="T41">
        <v>2500</v>
      </c>
      <c r="U41">
        <v>0</v>
      </c>
      <c r="V41">
        <v>0</v>
      </c>
      <c r="W41">
        <f>salaire_de_base(Tableau1[[#This Row],[Nb_hr_pointee]],Tableau1[[#This Row],[Catégorie]])</f>
        <v>204980</v>
      </c>
      <c r="X41">
        <f>heures_supplémentaires(Tableau1[[#This Row],[Catégorie]],Tableau1[[#This Row],[H_Supp_15]],Tableau1[[#This Row],[H_Supp_40]],Tableau1[[#This Row],[H_Supp_60]],Tableau1[[#This Row],[H_Supp_100]])</f>
        <v>29084.999999999996</v>
      </c>
      <c r="Y41">
        <f>salaire_brut_social(Tableau1[[#This Row],[Prime]],Tableau1[[#This Row],[salaire_de_base]],Tableau1[[#This Row],[heures_supplémentaires]])</f>
        <v>234065</v>
      </c>
      <c r="Z41">
        <f>salaire_brut_fiscal(Tableau1[[#This Row],[Avantage]],Tableau1[[#This Row],[salaire_brut_social]])</f>
        <v>234065</v>
      </c>
      <c r="AA41">
        <f>regime_general(Tableau1[[#This Row],[salaire_brut_social]])</f>
        <v>13107.64</v>
      </c>
      <c r="AB41">
        <f>regime_cadre(Tableau1[[#This Row],[salaire_brut_social]])</f>
        <v>0</v>
      </c>
      <c r="AC41">
        <f>TRIMF(Tableau1[[#This Row],[Etat_Civil]],Tableau1[[#This Row],[Nb_epouse]],Tableau1[[#This Row],[salaire_brut_fiscal]],Tableau1[[#This Row],[Sexe]])</f>
        <v>0</v>
      </c>
      <c r="AD41">
        <f>IR(Tableau1[[#This Row],[Etat_Civil]],Tableau1[[#This Row],[Nb_enfant]],Tableau1[[#This Row],[Nb_enfant]]+Tableau1[[#This Row],[salaire_brut_fiscal]])</f>
        <v>26153.649999999998</v>
      </c>
      <c r="AE41">
        <f>total_retenues(Tableau1[[#This Row],[Regime_general]],Tableau1[[#This Row],[Regime_cadre]],Tableau1[[#This Row],[IPM]],Tableau1[[#This Row],[TRIMF]],Tableau1[[#This Row],[IR]],Tableau1[[#This Row],[Avance_Ac]],Tableau1[[#This Row],[Opposition]])</f>
        <v>41761.289999999994</v>
      </c>
      <c r="AF41">
        <f>salaire_net(Tableau1[[#This Row],[salaire_brut_social]],Tableau1[[#This Row],[Total_retenues]])</f>
        <v>192303.71000000002</v>
      </c>
      <c r="AG41">
        <f>net_a_payer(Tableau1[[#This Row],[salaire_net]],Tableau1[[#This Row],[Indemnité]])</f>
        <v>192303.71000000002</v>
      </c>
      <c r="AJ41" s="3">
        <f>age(Tableau1[[#This Row],[Date Nais]])</f>
        <v>48</v>
      </c>
    </row>
    <row r="42" spans="1:36" x14ac:dyDescent="0.25">
      <c r="A42">
        <v>41</v>
      </c>
      <c r="B42" t="s">
        <v>207</v>
      </c>
      <c r="C42" t="s">
        <v>208</v>
      </c>
      <c r="D42" t="s">
        <v>209</v>
      </c>
      <c r="E42" s="2">
        <v>27061</v>
      </c>
      <c r="F42" t="s">
        <v>47</v>
      </c>
      <c r="G42" t="s">
        <v>32</v>
      </c>
      <c r="H42" t="s">
        <v>36</v>
      </c>
      <c r="I42" t="s">
        <v>54</v>
      </c>
      <c r="J42">
        <v>0</v>
      </c>
      <c r="K42">
        <v>1</v>
      </c>
      <c r="L42">
        <v>150</v>
      </c>
      <c r="M42">
        <v>0</v>
      </c>
      <c r="N42">
        <v>0</v>
      </c>
      <c r="O42">
        <v>1</v>
      </c>
      <c r="P42">
        <v>0</v>
      </c>
      <c r="Q42">
        <v>0</v>
      </c>
      <c r="R42">
        <v>10000</v>
      </c>
      <c r="S42">
        <v>0</v>
      </c>
      <c r="T42">
        <v>0</v>
      </c>
      <c r="U42">
        <v>0</v>
      </c>
      <c r="V42">
        <v>30000</v>
      </c>
      <c r="W42">
        <f>salaire_de_base(Tableau1[[#This Row],[Nb_hr_pointee]],Tableau1[[#This Row],[Catégorie]])</f>
        <v>406650</v>
      </c>
      <c r="X42">
        <f>heures_supplémentaires(Tableau1[[#This Row],[Catégorie]],Tableau1[[#This Row],[H_Supp_15]],Tableau1[[#This Row],[H_Supp_40]],Tableau1[[#This Row],[H_Supp_60]],Tableau1[[#This Row],[H_Supp_100]])</f>
        <v>4337.6000000000004</v>
      </c>
      <c r="Y42">
        <f>salaire_brut_social(Tableau1[[#This Row],[Prime]],Tableau1[[#This Row],[salaire_de_base]],Tableau1[[#This Row],[heures_supplémentaires]])</f>
        <v>410987.6</v>
      </c>
      <c r="Z42">
        <f>salaire_brut_fiscal(Tableau1[[#This Row],[Avantage]],Tableau1[[#This Row],[salaire_brut_social]])</f>
        <v>420987.6</v>
      </c>
      <c r="AA42">
        <f>regime_general(Tableau1[[#This Row],[salaire_brut_social]])</f>
        <v>20160</v>
      </c>
      <c r="AB42">
        <f>regime_cadre(Tableau1[[#This Row],[salaire_brut_social]])</f>
        <v>9863.7024000000001</v>
      </c>
      <c r="AC42">
        <f>TRIMF(Tableau1[[#This Row],[Etat_Civil]],Tableau1[[#This Row],[Nb_epouse]],Tableau1[[#This Row],[salaire_brut_fiscal]],Tableau1[[#This Row],[Sexe]])</f>
        <v>0</v>
      </c>
      <c r="AD42">
        <f>IR(Tableau1[[#This Row],[Etat_Civil]],Tableau1[[#This Row],[Nb_enfant]],Tableau1[[#This Row],[Nb_enfant]]+Tableau1[[#This Row],[salaire_brut_fiscal]])</f>
        <v>81429.483333333337</v>
      </c>
      <c r="AE42">
        <f>total_retenues(Tableau1[[#This Row],[Regime_general]],Tableau1[[#This Row],[Regime_cadre]],Tableau1[[#This Row],[IPM]],Tableau1[[#This Row],[TRIMF]],Tableau1[[#This Row],[IR]],Tableau1[[#This Row],[Avance_Ac]],Tableau1[[#This Row],[Opposition]])</f>
        <v>141453.18573333335</v>
      </c>
      <c r="AF42">
        <f>salaire_net(Tableau1[[#This Row],[salaire_brut_social]],Tableau1[[#This Row],[Total_retenues]])</f>
        <v>269534.41426666663</v>
      </c>
      <c r="AG42">
        <f>net_a_payer(Tableau1[[#This Row],[salaire_net]],Tableau1[[#This Row],[Indemnité]])</f>
        <v>269534.41426666663</v>
      </c>
      <c r="AJ42" s="3">
        <f>age(Tableau1[[#This Row],[Date Nais]])</f>
        <v>46</v>
      </c>
    </row>
    <row r="43" spans="1:36" x14ac:dyDescent="0.25">
      <c r="A43">
        <v>42</v>
      </c>
      <c r="B43" t="s">
        <v>210</v>
      </c>
      <c r="C43" t="s">
        <v>211</v>
      </c>
      <c r="D43" t="s">
        <v>212</v>
      </c>
      <c r="E43" s="2">
        <v>22100</v>
      </c>
      <c r="F43" t="s">
        <v>213</v>
      </c>
      <c r="G43" t="s">
        <v>32</v>
      </c>
      <c r="H43" t="s">
        <v>35</v>
      </c>
      <c r="I43" t="s">
        <v>48</v>
      </c>
      <c r="J43">
        <v>2</v>
      </c>
      <c r="K43">
        <v>5</v>
      </c>
      <c r="L43">
        <v>160</v>
      </c>
      <c r="M43">
        <v>0</v>
      </c>
      <c r="N43">
        <v>0</v>
      </c>
      <c r="O43">
        <v>1</v>
      </c>
      <c r="P43">
        <v>0</v>
      </c>
      <c r="Q43">
        <v>6500</v>
      </c>
      <c r="R43">
        <v>0</v>
      </c>
      <c r="S43">
        <v>20000</v>
      </c>
      <c r="T43">
        <v>0</v>
      </c>
      <c r="U43">
        <v>0</v>
      </c>
      <c r="V43">
        <v>0</v>
      </c>
      <c r="W43">
        <f>salaire_de_base(Tableau1[[#This Row],[Nb_hr_pointee]],Tableau1[[#This Row],[Catégorie]])</f>
        <v>221600</v>
      </c>
      <c r="X43">
        <f>heures_supplémentaires(Tableau1[[#This Row],[Catégorie]],Tableau1[[#This Row],[H_Supp_15]],Tableau1[[#This Row],[H_Supp_40]],Tableau1[[#This Row],[H_Supp_60]],Tableau1[[#This Row],[H_Supp_100]])</f>
        <v>2216</v>
      </c>
      <c r="Y43">
        <f>salaire_brut_social(Tableau1[[#This Row],[Prime]],Tableau1[[#This Row],[salaire_de_base]],Tableau1[[#This Row],[heures_supplémentaires]])</f>
        <v>230316</v>
      </c>
      <c r="Z43">
        <f>salaire_brut_fiscal(Tableau1[[#This Row],[Avantage]],Tableau1[[#This Row],[salaire_brut_social]])</f>
        <v>230316</v>
      </c>
      <c r="AA43">
        <f>regime_general(Tableau1[[#This Row],[salaire_brut_social]])</f>
        <v>12897.696</v>
      </c>
      <c r="AB43">
        <f>regime_cadre(Tableau1[[#This Row],[salaire_brut_social]])</f>
        <v>0</v>
      </c>
      <c r="AC43">
        <f>TRIMF(Tableau1[[#This Row],[Etat_Civil]],Tableau1[[#This Row],[Nb_epouse]],Tableau1[[#This Row],[salaire_brut_fiscal]],Tableau1[[#This Row],[Sexe]])</f>
        <v>2700</v>
      </c>
      <c r="AD43">
        <f>IR(Tableau1[[#This Row],[Etat_Civil]],Tableau1[[#This Row],[Nb_enfant]],Tableau1[[#This Row],[Nb_enfant]]+Tableau1[[#This Row],[salaire_brut_fiscal]])</f>
        <v>0</v>
      </c>
      <c r="AE43">
        <f>total_retenues(Tableau1[[#This Row],[Regime_general]],Tableau1[[#This Row],[Regime_cadre]],Tableau1[[#This Row],[IPM]],Tableau1[[#This Row],[TRIMF]],Tableau1[[#This Row],[IR]],Tableau1[[#This Row],[Avance_Ac]],Tableau1[[#This Row],[Opposition]])</f>
        <v>15597.696</v>
      </c>
      <c r="AF43">
        <f>salaire_net(Tableau1[[#This Row],[salaire_brut_social]],Tableau1[[#This Row],[Total_retenues]])</f>
        <v>214718.304</v>
      </c>
      <c r="AG43">
        <f>net_a_payer(Tableau1[[#This Row],[salaire_net]],Tableau1[[#This Row],[Indemnité]])</f>
        <v>234718.304</v>
      </c>
      <c r="AJ43" s="3">
        <f>age(Tableau1[[#This Row],[Date Nais]])</f>
        <v>60</v>
      </c>
    </row>
    <row r="44" spans="1:36" x14ac:dyDescent="0.25">
      <c r="A44">
        <v>43</v>
      </c>
      <c r="B44" t="s">
        <v>214</v>
      </c>
      <c r="C44" t="s">
        <v>215</v>
      </c>
      <c r="D44" t="s">
        <v>216</v>
      </c>
      <c r="E44" s="2">
        <v>26639</v>
      </c>
      <c r="F44" t="s">
        <v>217</v>
      </c>
      <c r="G44" t="s">
        <v>32</v>
      </c>
      <c r="H44" t="s">
        <v>35</v>
      </c>
      <c r="I44" t="s">
        <v>48</v>
      </c>
      <c r="J44">
        <v>1</v>
      </c>
      <c r="K44">
        <v>1</v>
      </c>
      <c r="L44">
        <v>160</v>
      </c>
      <c r="M44">
        <v>8</v>
      </c>
      <c r="N44">
        <v>11</v>
      </c>
      <c r="O44">
        <v>6</v>
      </c>
      <c r="P44">
        <v>5</v>
      </c>
      <c r="Q44">
        <v>7500</v>
      </c>
      <c r="R44">
        <v>0</v>
      </c>
      <c r="S44">
        <v>0</v>
      </c>
      <c r="T44">
        <v>0</v>
      </c>
      <c r="U44">
        <v>10000</v>
      </c>
      <c r="V44">
        <v>0</v>
      </c>
      <c r="W44">
        <f>salaire_de_base(Tableau1[[#This Row],[Nb_hr_pointee]],Tableau1[[#This Row],[Catégorie]])</f>
        <v>221600</v>
      </c>
      <c r="X44">
        <f>heures_supplémentaires(Tableau1[[#This Row],[Catégorie]],Tableau1[[#This Row],[H_Supp_15]],Tableau1[[#This Row],[H_Supp_40]],Tableau1[[#This Row],[H_Supp_60]],Tableau1[[#This Row],[H_Supp_100]])</f>
        <v>61217</v>
      </c>
      <c r="Y44">
        <f>salaire_brut_social(Tableau1[[#This Row],[Prime]],Tableau1[[#This Row],[salaire_de_base]],Tableau1[[#This Row],[heures_supplémentaires]])</f>
        <v>290317</v>
      </c>
      <c r="Z44">
        <f>salaire_brut_fiscal(Tableau1[[#This Row],[Avantage]],Tableau1[[#This Row],[salaire_brut_social]])</f>
        <v>290317</v>
      </c>
      <c r="AA44">
        <f>regime_general(Tableau1[[#This Row],[salaire_brut_social]])</f>
        <v>16257.752</v>
      </c>
      <c r="AB44">
        <f>regime_cadre(Tableau1[[#This Row],[salaire_brut_social]])</f>
        <v>0</v>
      </c>
      <c r="AC44">
        <f>TRIMF(Tableau1[[#This Row],[Etat_Civil]],Tableau1[[#This Row],[Nb_epouse]],Tableau1[[#This Row],[salaire_brut_fiscal]],Tableau1[[#This Row],[Sexe]])</f>
        <v>1800</v>
      </c>
      <c r="AD44">
        <f>IR(Tableau1[[#This Row],[Etat_Civil]],Tableau1[[#This Row],[Nb_enfant]],Tableau1[[#This Row],[Nb_enfant]]+Tableau1[[#This Row],[salaire_brut_fiscal]])</f>
        <v>24928.733333333334</v>
      </c>
      <c r="AE44">
        <f>total_retenues(Tableau1[[#This Row],[Regime_general]],Tableau1[[#This Row],[Regime_cadre]],Tableau1[[#This Row],[IPM]],Tableau1[[#This Row],[TRIMF]],Tableau1[[#This Row],[IR]],Tableau1[[#This Row],[Avance_Ac]],Tableau1[[#This Row],[Opposition]])</f>
        <v>52986.48533333333</v>
      </c>
      <c r="AF44">
        <f>salaire_net(Tableau1[[#This Row],[salaire_brut_social]],Tableau1[[#This Row],[Total_retenues]])</f>
        <v>237330.51466666668</v>
      </c>
      <c r="AG44">
        <f>net_a_payer(Tableau1[[#This Row],[salaire_net]],Tableau1[[#This Row],[Indemnité]])</f>
        <v>237330.51466666668</v>
      </c>
      <c r="AJ44" s="3">
        <f>age(Tableau1[[#This Row],[Date Nais]])</f>
        <v>47</v>
      </c>
    </row>
    <row r="45" spans="1:36" x14ac:dyDescent="0.25">
      <c r="A45">
        <v>44</v>
      </c>
      <c r="B45" t="s">
        <v>218</v>
      </c>
      <c r="C45" t="s">
        <v>219</v>
      </c>
      <c r="D45" t="s">
        <v>220</v>
      </c>
      <c r="E45" s="2">
        <v>25178</v>
      </c>
      <c r="F45" t="s">
        <v>178</v>
      </c>
      <c r="G45" t="s">
        <v>32</v>
      </c>
      <c r="H45" t="s">
        <v>33</v>
      </c>
      <c r="I45" t="s">
        <v>48</v>
      </c>
      <c r="J45">
        <v>1</v>
      </c>
      <c r="K45">
        <v>1</v>
      </c>
      <c r="L45">
        <v>160</v>
      </c>
      <c r="M45">
        <v>9</v>
      </c>
      <c r="N45">
        <v>0</v>
      </c>
      <c r="O45">
        <v>0</v>
      </c>
      <c r="P45">
        <v>6</v>
      </c>
      <c r="Q45">
        <v>8500</v>
      </c>
      <c r="R45">
        <v>0</v>
      </c>
      <c r="S45">
        <v>0</v>
      </c>
      <c r="T45">
        <v>2500</v>
      </c>
      <c r="U45">
        <v>0</v>
      </c>
      <c r="V45">
        <v>0</v>
      </c>
      <c r="W45">
        <f>salaire_de_base(Tableau1[[#This Row],[Nb_hr_pointee]],Tableau1[[#This Row],[Catégorie]])</f>
        <v>323200</v>
      </c>
      <c r="X45">
        <f>heures_supplémentaires(Tableau1[[#This Row],[Catégorie]],Tableau1[[#This Row],[H_Supp_15]],Tableau1[[#This Row],[H_Supp_40]],Tableau1[[#This Row],[H_Supp_60]],Tableau1[[#This Row],[H_Supp_100]])</f>
        <v>45147</v>
      </c>
      <c r="Y45">
        <f>salaire_brut_social(Tableau1[[#This Row],[Prime]],Tableau1[[#This Row],[salaire_de_base]],Tableau1[[#This Row],[heures_supplémentaires]])</f>
        <v>376847</v>
      </c>
      <c r="Z45">
        <f>salaire_brut_fiscal(Tableau1[[#This Row],[Avantage]],Tableau1[[#This Row],[salaire_brut_social]])</f>
        <v>376847</v>
      </c>
      <c r="AA45">
        <f>regime_general(Tableau1[[#This Row],[salaire_brut_social]])</f>
        <v>20160</v>
      </c>
      <c r="AB45">
        <f>regime_cadre(Tableau1[[#This Row],[salaire_brut_social]])</f>
        <v>9044.3279999999995</v>
      </c>
      <c r="AC45">
        <f>TRIMF(Tableau1[[#This Row],[Etat_Civil]],Tableau1[[#This Row],[Nb_epouse]],Tableau1[[#This Row],[salaire_brut_fiscal]],Tableau1[[#This Row],[Sexe]])</f>
        <v>1800</v>
      </c>
      <c r="AD45">
        <f>IR(Tableau1[[#This Row],[Etat_Civil]],Tableau1[[#This Row],[Nb_enfant]],Tableau1[[#This Row],[Nb_enfant]]+Tableau1[[#This Row],[salaire_brut_fiscal]])</f>
        <v>50887.73333333333</v>
      </c>
      <c r="AE45">
        <f>total_retenues(Tableau1[[#This Row],[Regime_general]],Tableau1[[#This Row],[Regime_cadre]],Tableau1[[#This Row],[IPM]],Tableau1[[#This Row],[TRIMF]],Tableau1[[#This Row],[IR]],Tableau1[[#This Row],[Avance_Ac]],Tableau1[[#This Row],[Opposition]])</f>
        <v>84392.061333333331</v>
      </c>
      <c r="AF45">
        <f>salaire_net(Tableau1[[#This Row],[salaire_brut_social]],Tableau1[[#This Row],[Total_retenues]])</f>
        <v>292454.93866666668</v>
      </c>
      <c r="AG45">
        <f>net_a_payer(Tableau1[[#This Row],[salaire_net]],Tableau1[[#This Row],[Indemnité]])</f>
        <v>292454.93866666668</v>
      </c>
      <c r="AJ45" s="3">
        <f>age(Tableau1[[#This Row],[Date Nais]])</f>
        <v>51</v>
      </c>
    </row>
    <row r="46" spans="1:36" x14ac:dyDescent="0.25">
      <c r="A46">
        <v>45</v>
      </c>
      <c r="B46" t="s">
        <v>221</v>
      </c>
      <c r="C46" t="s">
        <v>222</v>
      </c>
      <c r="D46" t="s">
        <v>223</v>
      </c>
      <c r="E46" t="s">
        <v>224</v>
      </c>
      <c r="F46" t="s">
        <v>225</v>
      </c>
      <c r="G46" t="s">
        <v>34</v>
      </c>
      <c r="H46" t="s">
        <v>33</v>
      </c>
      <c r="I46" t="s">
        <v>48</v>
      </c>
      <c r="J46">
        <v>0</v>
      </c>
      <c r="K46">
        <v>2</v>
      </c>
      <c r="L46">
        <v>160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f>salaire_de_base(Tableau1[[#This Row],[Nb_hr_pointee]],Tableau1[[#This Row],[Catégorie]])</f>
        <v>323200</v>
      </c>
      <c r="X46">
        <f>heures_supplémentaires(Tableau1[[#This Row],[Catégorie]],Tableau1[[#This Row],[H_Supp_15]],Tableau1[[#This Row],[H_Supp_40]],Tableau1[[#This Row],[H_Supp_60]],Tableau1[[#This Row],[H_Supp_100]])</f>
        <v>0</v>
      </c>
      <c r="Y46">
        <f>salaire_brut_social(Tableau1[[#This Row],[Prime]],Tableau1[[#This Row],[salaire_de_base]],Tableau1[[#This Row],[heures_supplémentaires]])</f>
        <v>323200</v>
      </c>
      <c r="Z46">
        <f>salaire_brut_fiscal(Tableau1[[#This Row],[Avantage]],Tableau1[[#This Row],[salaire_brut_social]])</f>
        <v>323200</v>
      </c>
      <c r="AA46">
        <f>regime_general(Tableau1[[#This Row],[salaire_brut_social]])</f>
        <v>18099.2</v>
      </c>
      <c r="AB46">
        <f>regime_cadre(Tableau1[[#This Row],[salaire_brut_social]])</f>
        <v>0</v>
      </c>
      <c r="AC46">
        <f>TRIMF(Tableau1[[#This Row],[Etat_Civil]],Tableau1[[#This Row],[Nb_epouse]],Tableau1[[#This Row],[salaire_brut_fiscal]],Tableau1[[#This Row],[Sexe]])</f>
        <v>900</v>
      </c>
      <c r="AD46">
        <f>IR(Tableau1[[#This Row],[Etat_Civil]],Tableau1[[#This Row],[Nb_enfant]],Tableau1[[#This Row],[Nb_enfant]]+Tableau1[[#This Row],[salaire_brut_fiscal]])</f>
        <v>26460.599999999995</v>
      </c>
      <c r="AE46">
        <f>total_retenues(Tableau1[[#This Row],[Regime_general]],Tableau1[[#This Row],[Regime_cadre]],Tableau1[[#This Row],[IPM]],Tableau1[[#This Row],[TRIMF]],Tableau1[[#This Row],[IR]],Tableau1[[#This Row],[Avance_Ac]],Tableau1[[#This Row],[Opposition]])</f>
        <v>45459.799999999996</v>
      </c>
      <c r="AF46">
        <f>salaire_net(Tableau1[[#This Row],[salaire_brut_social]],Tableau1[[#This Row],[Total_retenues]])</f>
        <v>277740.2</v>
      </c>
      <c r="AG46">
        <f>net_a_payer(Tableau1[[#This Row],[salaire_net]],Tableau1[[#This Row],[Indemnité]])</f>
        <v>277740.2</v>
      </c>
      <c r="AJ46" s="3">
        <f>age(Tableau1[[#This Row],[Date Nais]])</f>
        <v>48</v>
      </c>
    </row>
    <row r="47" spans="1:36" x14ac:dyDescent="0.25">
      <c r="A47">
        <v>46</v>
      </c>
      <c r="B47" t="s">
        <v>226</v>
      </c>
      <c r="C47" t="s">
        <v>227</v>
      </c>
      <c r="D47" t="s">
        <v>228</v>
      </c>
      <c r="E47" t="s">
        <v>229</v>
      </c>
      <c r="F47" t="s">
        <v>110</v>
      </c>
      <c r="G47" t="s">
        <v>32</v>
      </c>
      <c r="H47" t="s">
        <v>33</v>
      </c>
      <c r="I47" t="s">
        <v>48</v>
      </c>
      <c r="J47">
        <v>1</v>
      </c>
      <c r="K47">
        <v>1</v>
      </c>
      <c r="L47">
        <v>145</v>
      </c>
      <c r="M47">
        <v>0</v>
      </c>
      <c r="N47">
        <v>14</v>
      </c>
      <c r="O47">
        <v>0</v>
      </c>
      <c r="P47">
        <v>8</v>
      </c>
      <c r="Q47">
        <v>0</v>
      </c>
      <c r="R47">
        <v>0</v>
      </c>
      <c r="S47">
        <v>0</v>
      </c>
      <c r="T47">
        <v>0</v>
      </c>
      <c r="U47">
        <v>15000</v>
      </c>
      <c r="V47">
        <v>0</v>
      </c>
      <c r="W47">
        <f>salaire_de_base(Tableau1[[#This Row],[Nb_hr_pointee]],Tableau1[[#This Row],[Catégorie]])</f>
        <v>292900</v>
      </c>
      <c r="X47">
        <f>heures_supplémentaires(Tableau1[[#This Row],[Catégorie]],Tableau1[[#This Row],[H_Supp_15]],Tableau1[[#This Row],[H_Supp_40]],Tableau1[[#This Row],[H_Supp_60]],Tableau1[[#This Row],[H_Supp_100]])</f>
        <v>71912</v>
      </c>
      <c r="Y47">
        <f>salaire_brut_social(Tableau1[[#This Row],[Prime]],Tableau1[[#This Row],[salaire_de_base]],Tableau1[[#This Row],[heures_supplémentaires]])</f>
        <v>364812</v>
      </c>
      <c r="Z47">
        <f>salaire_brut_fiscal(Tableau1[[#This Row],[Avantage]],Tableau1[[#This Row],[salaire_brut_social]])</f>
        <v>364812</v>
      </c>
      <c r="AA47">
        <f>regime_general(Tableau1[[#This Row],[salaire_brut_social]])</f>
        <v>20160</v>
      </c>
      <c r="AB47">
        <f>regime_cadre(Tableau1[[#This Row],[salaire_brut_social]])</f>
        <v>8755.4879999999994</v>
      </c>
      <c r="AC47">
        <f>TRIMF(Tableau1[[#This Row],[Etat_Civil]],Tableau1[[#This Row],[Nb_epouse]],Tableau1[[#This Row],[salaire_brut_fiscal]],Tableau1[[#This Row],[Sexe]])</f>
        <v>1800</v>
      </c>
      <c r="AD47">
        <f>IR(Tableau1[[#This Row],[Etat_Civil]],Tableau1[[#This Row],[Nb_enfant]],Tableau1[[#This Row],[Nb_enfant]]+Tableau1[[#This Row],[salaire_brut_fiscal]])</f>
        <v>47277.23333333333</v>
      </c>
      <c r="AE47">
        <f>total_retenues(Tableau1[[#This Row],[Regime_general]],Tableau1[[#This Row],[Regime_cadre]],Tableau1[[#This Row],[IPM]],Tableau1[[#This Row],[TRIMF]],Tableau1[[#This Row],[IR]],Tableau1[[#This Row],[Avance_Ac]],Tableau1[[#This Row],[Opposition]])</f>
        <v>92992.721333333335</v>
      </c>
      <c r="AF47">
        <f>salaire_net(Tableau1[[#This Row],[salaire_brut_social]],Tableau1[[#This Row],[Total_retenues]])</f>
        <v>271819.27866666665</v>
      </c>
      <c r="AG47">
        <f>net_a_payer(Tableau1[[#This Row],[salaire_net]],Tableau1[[#This Row],[Indemnité]])</f>
        <v>271819.27866666665</v>
      </c>
      <c r="AJ47" s="3">
        <f>age(Tableau1[[#This Row],[Date Nais]])</f>
        <v>55</v>
      </c>
    </row>
    <row r="48" spans="1:36" x14ac:dyDescent="0.25">
      <c r="A48">
        <v>47</v>
      </c>
      <c r="B48" t="s">
        <v>230</v>
      </c>
      <c r="C48" t="s">
        <v>231</v>
      </c>
      <c r="D48" t="s">
        <v>232</v>
      </c>
      <c r="E48" t="s">
        <v>233</v>
      </c>
      <c r="F48" t="s">
        <v>134</v>
      </c>
      <c r="G48" t="s">
        <v>32</v>
      </c>
      <c r="H48" t="s">
        <v>33</v>
      </c>
      <c r="I48" t="s">
        <v>48</v>
      </c>
      <c r="J48">
        <v>2</v>
      </c>
      <c r="K48">
        <v>5</v>
      </c>
      <c r="L48">
        <v>144</v>
      </c>
      <c r="M48">
        <v>0</v>
      </c>
      <c r="N48">
        <v>0</v>
      </c>
      <c r="O48">
        <v>1</v>
      </c>
      <c r="P48">
        <v>0</v>
      </c>
      <c r="Q48">
        <v>0</v>
      </c>
      <c r="R48">
        <v>25000</v>
      </c>
      <c r="S48">
        <v>0</v>
      </c>
      <c r="T48">
        <v>0</v>
      </c>
      <c r="U48">
        <v>0</v>
      </c>
      <c r="V48">
        <v>0</v>
      </c>
      <c r="W48">
        <f>salaire_de_base(Tableau1[[#This Row],[Nb_hr_pointee]],Tableau1[[#This Row],[Catégorie]])</f>
        <v>290880</v>
      </c>
      <c r="X48">
        <f>heures_supplémentaires(Tableau1[[#This Row],[Catégorie]],Tableau1[[#This Row],[H_Supp_15]],Tableau1[[#This Row],[H_Supp_40]],Tableau1[[#This Row],[H_Supp_60]],Tableau1[[#This Row],[H_Supp_100]])</f>
        <v>3232</v>
      </c>
      <c r="Y48">
        <f>salaire_brut_social(Tableau1[[#This Row],[Prime]],Tableau1[[#This Row],[salaire_de_base]],Tableau1[[#This Row],[heures_supplémentaires]])</f>
        <v>294112</v>
      </c>
      <c r="Z48">
        <f>salaire_brut_fiscal(Tableau1[[#This Row],[Avantage]],Tableau1[[#This Row],[salaire_brut_social]])</f>
        <v>319112</v>
      </c>
      <c r="AA48">
        <f>regime_general(Tableau1[[#This Row],[salaire_brut_social]])</f>
        <v>16470.272000000001</v>
      </c>
      <c r="AB48">
        <f>regime_cadre(Tableau1[[#This Row],[salaire_brut_social]])</f>
        <v>0</v>
      </c>
      <c r="AC48">
        <f>TRIMF(Tableau1[[#This Row],[Etat_Civil]],Tableau1[[#This Row],[Nb_epouse]],Tableau1[[#This Row],[salaire_brut_fiscal]],Tableau1[[#This Row],[Sexe]])</f>
        <v>2700</v>
      </c>
      <c r="AD48">
        <f>IR(Tableau1[[#This Row],[Etat_Civil]],Tableau1[[#This Row],[Nb_enfant]],Tableau1[[#This Row],[Nb_enfant]]+Tableau1[[#This Row],[salaire_brut_fiscal]])</f>
        <v>235.09999999999613</v>
      </c>
      <c r="AE48">
        <f>total_retenues(Tableau1[[#This Row],[Regime_general]],Tableau1[[#This Row],[Regime_cadre]],Tableau1[[#This Row],[IPM]],Tableau1[[#This Row],[TRIMF]],Tableau1[[#This Row],[IR]],Tableau1[[#This Row],[Avance_Ac]],Tableau1[[#This Row],[Opposition]])</f>
        <v>19405.371999999996</v>
      </c>
      <c r="AF48">
        <f>salaire_net(Tableau1[[#This Row],[salaire_brut_social]],Tableau1[[#This Row],[Total_retenues]])</f>
        <v>274706.62800000003</v>
      </c>
      <c r="AG48">
        <f>net_a_payer(Tableau1[[#This Row],[salaire_net]],Tableau1[[#This Row],[Indemnité]])</f>
        <v>274706.62800000003</v>
      </c>
      <c r="AJ48" s="3">
        <f>age(Tableau1[[#This Row],[Date Nais]])</f>
        <v>50</v>
      </c>
    </row>
    <row r="49" spans="1:36" x14ac:dyDescent="0.25">
      <c r="A49">
        <v>48</v>
      </c>
      <c r="B49" t="s">
        <v>234</v>
      </c>
      <c r="C49" t="s">
        <v>235</v>
      </c>
      <c r="D49" t="s">
        <v>232</v>
      </c>
      <c r="E49" t="s">
        <v>236</v>
      </c>
      <c r="F49" t="s">
        <v>154</v>
      </c>
      <c r="G49" t="s">
        <v>34</v>
      </c>
      <c r="H49" t="s">
        <v>33</v>
      </c>
      <c r="I49" t="s">
        <v>48</v>
      </c>
      <c r="J49">
        <v>0</v>
      </c>
      <c r="K49">
        <v>2</v>
      </c>
      <c r="L49">
        <v>147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10000</v>
      </c>
      <c r="T49">
        <v>3000</v>
      </c>
      <c r="U49">
        <v>14500</v>
      </c>
      <c r="V49">
        <v>0</v>
      </c>
      <c r="W49">
        <f>salaire_de_base(Tableau1[[#This Row],[Nb_hr_pointee]],Tableau1[[#This Row],[Catégorie]])</f>
        <v>296940</v>
      </c>
      <c r="X49">
        <f>heures_supplémentaires(Tableau1[[#This Row],[Catégorie]],Tableau1[[#This Row],[H_Supp_15]],Tableau1[[#This Row],[H_Supp_40]],Tableau1[[#This Row],[H_Supp_60]],Tableau1[[#This Row],[H_Supp_100]])</f>
        <v>0</v>
      </c>
      <c r="Y49">
        <f>salaire_brut_social(Tableau1[[#This Row],[Prime]],Tableau1[[#This Row],[salaire_de_base]],Tableau1[[#This Row],[heures_supplémentaires]])</f>
        <v>296940</v>
      </c>
      <c r="Z49">
        <f>salaire_brut_fiscal(Tableau1[[#This Row],[Avantage]],Tableau1[[#This Row],[salaire_brut_social]])</f>
        <v>296940</v>
      </c>
      <c r="AA49">
        <f>regime_general(Tableau1[[#This Row],[salaire_brut_social]])</f>
        <v>16628.64</v>
      </c>
      <c r="AB49">
        <f>regime_cadre(Tableau1[[#This Row],[salaire_brut_social]])</f>
        <v>0</v>
      </c>
      <c r="AC49">
        <f>TRIMF(Tableau1[[#This Row],[Etat_Civil]],Tableau1[[#This Row],[Nb_epouse]],Tableau1[[#This Row],[salaire_brut_fiscal]],Tableau1[[#This Row],[Sexe]])</f>
        <v>900</v>
      </c>
      <c r="AD49">
        <f>IR(Tableau1[[#This Row],[Etat_Civil]],Tableau1[[#This Row],[Nb_enfant]],Tableau1[[#This Row],[Nb_enfant]]+Tableau1[[#This Row],[salaire_brut_fiscal]])</f>
        <v>18582.600000000002</v>
      </c>
      <c r="AE49">
        <f>total_retenues(Tableau1[[#This Row],[Regime_general]],Tableau1[[#This Row],[Regime_cadre]],Tableau1[[#This Row],[IPM]],Tableau1[[#This Row],[TRIMF]],Tableau1[[#This Row],[IR]],Tableau1[[#This Row],[Avance_Ac]],Tableau1[[#This Row],[Opposition]])</f>
        <v>53611.240000000005</v>
      </c>
      <c r="AF49">
        <f>salaire_net(Tableau1[[#This Row],[salaire_brut_social]],Tableau1[[#This Row],[Total_retenues]])</f>
        <v>243328.76</v>
      </c>
      <c r="AG49">
        <f>net_a_payer(Tableau1[[#This Row],[salaire_net]],Tableau1[[#This Row],[Indemnité]])</f>
        <v>253328.76</v>
      </c>
      <c r="AJ49" s="3">
        <f>age(Tableau1[[#This Row],[Date Nais]])</f>
        <v>58</v>
      </c>
    </row>
    <row r="50" spans="1:36" x14ac:dyDescent="0.25">
      <c r="A50">
        <v>49</v>
      </c>
      <c r="B50" t="s">
        <v>237</v>
      </c>
      <c r="C50" t="s">
        <v>238</v>
      </c>
      <c r="D50" t="s">
        <v>239</v>
      </c>
      <c r="E50" s="2">
        <v>27070</v>
      </c>
      <c r="F50" t="s">
        <v>47</v>
      </c>
      <c r="G50" t="s">
        <v>32</v>
      </c>
      <c r="H50" t="s">
        <v>33</v>
      </c>
      <c r="I50" t="s">
        <v>48</v>
      </c>
      <c r="J50">
        <v>2</v>
      </c>
      <c r="K50">
        <v>5</v>
      </c>
      <c r="L50">
        <v>149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f>salaire_de_base(Tableau1[[#This Row],[Nb_hr_pointee]],Tableau1[[#This Row],[Catégorie]])</f>
        <v>300980</v>
      </c>
      <c r="X50">
        <f>heures_supplémentaires(Tableau1[[#This Row],[Catégorie]],Tableau1[[#This Row],[H_Supp_15]],Tableau1[[#This Row],[H_Supp_40]],Tableau1[[#This Row],[H_Supp_60]],Tableau1[[#This Row],[H_Supp_100]])</f>
        <v>0</v>
      </c>
      <c r="Y50">
        <f>salaire_brut_social(Tableau1[[#This Row],[Prime]],Tableau1[[#This Row],[salaire_de_base]],Tableau1[[#This Row],[heures_supplémentaires]])</f>
        <v>300980</v>
      </c>
      <c r="Z50">
        <f>salaire_brut_fiscal(Tableau1[[#This Row],[Avantage]],Tableau1[[#This Row],[salaire_brut_social]])</f>
        <v>300980</v>
      </c>
      <c r="AA50">
        <f>regime_general(Tableau1[[#This Row],[salaire_brut_social]])</f>
        <v>16854.88</v>
      </c>
      <c r="AB50">
        <f>regime_cadre(Tableau1[[#This Row],[salaire_brut_social]])</f>
        <v>0</v>
      </c>
      <c r="AC50">
        <f>TRIMF(Tableau1[[#This Row],[Etat_Civil]],Tableau1[[#This Row],[Nb_epouse]],Tableau1[[#This Row],[salaire_brut_fiscal]],Tableau1[[#This Row],[Sexe]])</f>
        <v>2700</v>
      </c>
      <c r="AD50">
        <f>IR(Tableau1[[#This Row],[Etat_Civil]],Tableau1[[#This Row],[Nb_enfant]],Tableau1[[#This Row],[Nb_enfant]]+Tableau1[[#This Row],[salaire_brut_fiscal]])</f>
        <v>0</v>
      </c>
      <c r="AE50">
        <f>total_retenues(Tableau1[[#This Row],[Regime_general]],Tableau1[[#This Row],[Regime_cadre]],Tableau1[[#This Row],[IPM]],Tableau1[[#This Row],[TRIMF]],Tableau1[[#This Row],[IR]],Tableau1[[#This Row],[Avance_Ac]],Tableau1[[#This Row],[Opposition]])</f>
        <v>19554.88</v>
      </c>
      <c r="AF50">
        <f>salaire_net(Tableau1[[#This Row],[salaire_brut_social]],Tableau1[[#This Row],[Total_retenues]])</f>
        <v>281425.12</v>
      </c>
      <c r="AG50">
        <f>net_a_payer(Tableau1[[#This Row],[salaire_net]],Tableau1[[#This Row],[Indemnité]])</f>
        <v>281425.12</v>
      </c>
      <c r="AJ50" s="3">
        <f>age(Tableau1[[#This Row],[Date Nais]])</f>
        <v>46</v>
      </c>
    </row>
    <row r="51" spans="1:36" x14ac:dyDescent="0.25">
      <c r="A51">
        <v>50</v>
      </c>
      <c r="B51" t="s">
        <v>240</v>
      </c>
      <c r="C51" t="s">
        <v>241</v>
      </c>
      <c r="D51" t="s">
        <v>242</v>
      </c>
      <c r="E51" s="2">
        <v>24419</v>
      </c>
      <c r="F51" t="s">
        <v>131</v>
      </c>
      <c r="G51" t="s">
        <v>32</v>
      </c>
      <c r="H51" t="s">
        <v>33</v>
      </c>
      <c r="I51" t="s">
        <v>54</v>
      </c>
      <c r="J51">
        <v>0</v>
      </c>
      <c r="K51">
        <v>0</v>
      </c>
      <c r="L51">
        <v>160</v>
      </c>
      <c r="M51">
        <v>0</v>
      </c>
      <c r="N51">
        <v>15</v>
      </c>
      <c r="O51">
        <v>6</v>
      </c>
      <c r="P51">
        <v>7</v>
      </c>
      <c r="Q51">
        <v>7000</v>
      </c>
      <c r="R51">
        <v>0</v>
      </c>
      <c r="S51">
        <v>0</v>
      </c>
      <c r="T51">
        <v>3000</v>
      </c>
      <c r="U51">
        <v>13500</v>
      </c>
      <c r="V51">
        <v>0</v>
      </c>
      <c r="W51">
        <f>salaire_de_base(Tableau1[[#This Row],[Nb_hr_pointee]],Tableau1[[#This Row],[Catégorie]])</f>
        <v>323200</v>
      </c>
      <c r="X51">
        <f>heures_supplémentaires(Tableau1[[#This Row],[Catégorie]],Tableau1[[#This Row],[H_Supp_15]],Tableau1[[#This Row],[H_Supp_40]],Tableau1[[#This Row],[H_Supp_60]],Tableau1[[#This Row],[H_Supp_100]])</f>
        <v>90092</v>
      </c>
      <c r="Y51">
        <f>salaire_brut_social(Tableau1[[#This Row],[Prime]],Tableau1[[#This Row],[salaire_de_base]],Tableau1[[#This Row],[heures_supplémentaires]])</f>
        <v>420292</v>
      </c>
      <c r="Z51">
        <f>salaire_brut_fiscal(Tableau1[[#This Row],[Avantage]],Tableau1[[#This Row],[salaire_brut_social]])</f>
        <v>420292</v>
      </c>
      <c r="AA51">
        <f>regime_general(Tableau1[[#This Row],[salaire_brut_social]])</f>
        <v>20160</v>
      </c>
      <c r="AB51">
        <f>regime_cadre(Tableau1[[#This Row],[salaire_brut_social]])</f>
        <v>10087.008</v>
      </c>
      <c r="AC51">
        <f>TRIMF(Tableau1[[#This Row],[Etat_Civil]],Tableau1[[#This Row],[Nb_epouse]],Tableau1[[#This Row],[salaire_brut_fiscal]],Tableau1[[#This Row],[Sexe]])</f>
        <v>0</v>
      </c>
      <c r="AD51">
        <f>IR(Tableau1[[#This Row],[Etat_Civil]],Tableau1[[#This Row],[Nb_enfant]],Tableau1[[#This Row],[Nb_enfant]]+Tableau1[[#This Row],[salaire_brut_fiscal]])</f>
        <v>81185.53333333334</v>
      </c>
      <c r="AE51">
        <f>total_retenues(Tableau1[[#This Row],[Regime_general]],Tableau1[[#This Row],[Regime_cadre]],Tableau1[[#This Row],[IPM]],Tableau1[[#This Row],[TRIMF]],Tableau1[[#This Row],[IR]],Tableau1[[#This Row],[Avance_Ac]],Tableau1[[#This Row],[Opposition]])</f>
        <v>127932.54133333334</v>
      </c>
      <c r="AF51">
        <f>salaire_net(Tableau1[[#This Row],[salaire_brut_social]],Tableau1[[#This Row],[Total_retenues]])</f>
        <v>292359.45866666664</v>
      </c>
      <c r="AG51">
        <f>net_a_payer(Tableau1[[#This Row],[salaire_net]],Tableau1[[#This Row],[Indemnité]])</f>
        <v>292359.45866666664</v>
      </c>
      <c r="AJ51" s="3">
        <f>age(Tableau1[[#This Row],[Date Nais]])</f>
        <v>54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1:S10"/>
  <sheetViews>
    <sheetView workbookViewId="0">
      <selection activeCell="D9" sqref="D9"/>
    </sheetView>
  </sheetViews>
  <sheetFormatPr baseColWidth="10" defaultRowHeight="15" x14ac:dyDescent="0.25"/>
  <cols>
    <col min="1" max="2" width="11.5703125" customWidth="1"/>
    <col min="3" max="3" width="15" customWidth="1"/>
    <col min="5" max="7" width="11.5703125" customWidth="1"/>
    <col min="9" max="9" width="12.28515625" customWidth="1"/>
    <col min="10" max="10" width="11.5703125" customWidth="1"/>
    <col min="18" max="18" width="11.42578125" style="3"/>
  </cols>
  <sheetData>
    <row r="1" spans="3:19" x14ac:dyDescent="0.25">
      <c r="C1" t="s">
        <v>39</v>
      </c>
      <c r="D1" t="s">
        <v>38</v>
      </c>
      <c r="F1" t="s">
        <v>37</v>
      </c>
      <c r="G1" t="s">
        <v>38</v>
      </c>
      <c r="I1" t="s">
        <v>249</v>
      </c>
      <c r="J1" t="s">
        <v>38</v>
      </c>
      <c r="O1" t="s">
        <v>40</v>
      </c>
      <c r="P1" t="s">
        <v>38</v>
      </c>
      <c r="R1" s="3" t="s">
        <v>250</v>
      </c>
      <c r="S1" t="s">
        <v>251</v>
      </c>
    </row>
    <row r="2" spans="3:19" x14ac:dyDescent="0.25">
      <c r="C2" t="s">
        <v>36</v>
      </c>
      <c r="D2">
        <f>COUNTIF(Feuil1!H:H,"A")</f>
        <v>4</v>
      </c>
      <c r="F2" t="s">
        <v>32</v>
      </c>
      <c r="G2">
        <f>COUNTIF(Feuil1!G:G,"M")</f>
        <v>38</v>
      </c>
      <c r="I2" t="s">
        <v>48</v>
      </c>
      <c r="J2">
        <f>COUNTIF(Feuil1!I:I,"Marié")</f>
        <v>30</v>
      </c>
      <c r="L2" s="4"/>
      <c r="O2" t="s">
        <v>41</v>
      </c>
      <c r="P2">
        <f>COUNTIF(Feuil1!AB:AB,0)</f>
        <v>34</v>
      </c>
      <c r="R2" s="3">
        <v>51</v>
      </c>
      <c r="S2" s="3">
        <f>COUNTIF(Feuil1!AJ:AJ,51)</f>
        <v>4</v>
      </c>
    </row>
    <row r="3" spans="3:19" x14ac:dyDescent="0.25">
      <c r="C3" t="s">
        <v>33</v>
      </c>
      <c r="D3">
        <f>COUNTIF(Feuil1!H:H,"B")</f>
        <v>26</v>
      </c>
      <c r="F3" t="s">
        <v>34</v>
      </c>
      <c r="G3">
        <f>COUNTIF(Feuil1!G:G,"F")</f>
        <v>12</v>
      </c>
      <c r="I3" t="s">
        <v>54</v>
      </c>
      <c r="J3">
        <f>COUNTIF(Feuil1!I:I,"Célibataire")</f>
        <v>20</v>
      </c>
      <c r="O3" t="s">
        <v>42</v>
      </c>
      <c r="P3">
        <f>COUNTIF(Feuil1!AA:AA,20160)</f>
        <v>16</v>
      </c>
      <c r="R3" s="3">
        <v>52</v>
      </c>
      <c r="S3">
        <f>COUNTIF(Feuil1!AJ:AJ,52)</f>
        <v>3</v>
      </c>
    </row>
    <row r="4" spans="3:19" x14ac:dyDescent="0.25">
      <c r="C4" t="s">
        <v>35</v>
      </c>
      <c r="D4">
        <f>COUNTIF(Feuil1!H:H,"C")</f>
        <v>20</v>
      </c>
      <c r="R4" s="3">
        <v>53</v>
      </c>
      <c r="S4">
        <f>COUNTIF(Feuil1!AJ:AJ,53)</f>
        <v>1</v>
      </c>
    </row>
    <row r="5" spans="3:19" x14ac:dyDescent="0.25">
      <c r="R5" s="3">
        <v>54</v>
      </c>
      <c r="S5">
        <f>COUNTIF(Feuil1!AJ:AJ,54)</f>
        <v>1</v>
      </c>
    </row>
    <row r="6" spans="3:19" x14ac:dyDescent="0.25">
      <c r="R6" s="3">
        <v>55</v>
      </c>
      <c r="S6">
        <f>COUNTIF(Feuil1!AJ:AJ,55)</f>
        <v>2</v>
      </c>
    </row>
    <row r="7" spans="3:19" x14ac:dyDescent="0.25">
      <c r="R7" s="3">
        <v>56</v>
      </c>
      <c r="S7">
        <f>COUNTIF(Feuil1!AJ:AJ,56)</f>
        <v>3</v>
      </c>
    </row>
    <row r="8" spans="3:19" x14ac:dyDescent="0.25">
      <c r="R8" s="3">
        <v>57</v>
      </c>
      <c r="S8">
        <f>COUNTIF(Feuil1!AJ:AJ,57)</f>
        <v>6</v>
      </c>
    </row>
    <row r="9" spans="3:19" x14ac:dyDescent="0.25">
      <c r="R9" s="3">
        <v>58</v>
      </c>
      <c r="S9">
        <f>COUNTIF(Feuil1!AJ:AJ,58)</f>
        <v>6</v>
      </c>
    </row>
    <row r="10" spans="3:19" x14ac:dyDescent="0.25">
      <c r="R10" s="3">
        <v>59</v>
      </c>
      <c r="S10">
        <f>COUNTIF(Feuil1!AJ:AJ,59)</f>
        <v>4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showGridLines="0" topLeftCell="A15" zoomScaleNormal="100" workbookViewId="0">
      <selection activeCell="I36" sqref="I36"/>
    </sheetView>
  </sheetViews>
  <sheetFormatPr baseColWidth="10" defaultRowHeight="15" x14ac:dyDescent="0.25"/>
  <cols>
    <col min="1" max="1" width="2.7109375" customWidth="1"/>
    <col min="17" max="17" width="2.7109375" customWidth="1"/>
  </cols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Feuil3</vt:lpstr>
      <vt:lpstr>TABLEAU DE BORD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dcterms:created xsi:type="dcterms:W3CDTF">2020-04-30T01:48:46Z</dcterms:created>
  <dcterms:modified xsi:type="dcterms:W3CDTF">2020-05-31T19:03:29Z</dcterms:modified>
</cp:coreProperties>
</file>